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0f37d27afaca37/BITS/output/Part 3/analysis/"/>
    </mc:Choice>
  </mc:AlternateContent>
  <xr:revisionPtr revIDLastSave="10" documentId="8_{36876A0C-3E45-40DE-9FA8-23AF83B0E4B3}" xr6:coauthVersionLast="47" xr6:coauthVersionMax="47" xr10:uidLastSave="{267B4601-013E-4994-B995-127B0074FA2E}"/>
  <bookViews>
    <workbookView xWindow="-108" yWindow="-108" windowWidth="23256" windowHeight="12456" firstSheet="1" activeTab="2" xr2:uid="{463AF917-48BB-48D7-A521-F4B35BCAC052}"/>
  </bookViews>
  <sheets>
    <sheet name="Original_Data" sheetId="1" r:id="rId1"/>
    <sheet name="Cleaned_Data" sheetId="2" r:id="rId2"/>
    <sheet name="Dummy_Variables" sheetId="3" r:id="rId3"/>
    <sheet name="Simple_Regression_1" sheetId="5" r:id="rId4"/>
    <sheet name="Simple_Regression_2" sheetId="6" r:id="rId5"/>
    <sheet name="Multiple_Regression" sheetId="7" r:id="rId6"/>
    <sheet name="Model_Comparison" sheetId="9" r:id="rId7"/>
    <sheet name="Predictions_Residuals" sheetId="10" r:id="rId8"/>
  </sheets>
  <definedNames>
    <definedName name="_xlnm._FilterDatabase" localSheetId="2" hidden="1">Dummy_Variables!$C$1:$C$322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8" i="10" l="1"/>
  <c r="G308" i="10" s="1"/>
  <c r="F314" i="10"/>
  <c r="G314" i="10" s="1"/>
  <c r="F318" i="10"/>
  <c r="G318" i="10" s="1"/>
  <c r="F287" i="10"/>
  <c r="G287" i="10" s="1"/>
  <c r="F243" i="10"/>
  <c r="G243" i="10" s="1"/>
  <c r="F126" i="10"/>
  <c r="G126" i="10" s="1"/>
  <c r="F27" i="10"/>
  <c r="G27" i="10" s="1"/>
  <c r="F13" i="10"/>
  <c r="G13" i="10" s="1"/>
  <c r="F171" i="10"/>
  <c r="G171" i="10" s="1"/>
  <c r="F228" i="10"/>
  <c r="G228" i="10" s="1"/>
  <c r="F24" i="10"/>
  <c r="G24" i="10" s="1"/>
  <c r="F76" i="10"/>
  <c r="G76" i="10" s="1"/>
  <c r="F291" i="10"/>
  <c r="G291" i="10" s="1"/>
  <c r="F225" i="10"/>
  <c r="G225" i="10" s="1"/>
  <c r="F107" i="10"/>
  <c r="G107" i="10" s="1"/>
  <c r="F235" i="10"/>
  <c r="G235" i="10" s="1"/>
  <c r="F250" i="10"/>
  <c r="G250" i="10" s="1"/>
  <c r="F239" i="10"/>
  <c r="G239" i="10" s="1"/>
  <c r="F214" i="10"/>
  <c r="G214" i="10" s="1"/>
  <c r="F315" i="10"/>
  <c r="G315" i="10" s="1"/>
  <c r="F203" i="10"/>
  <c r="G203" i="10" s="1"/>
  <c r="F105" i="10"/>
  <c r="G105" i="10" s="1"/>
  <c r="F156" i="10"/>
  <c r="G156" i="10" s="1"/>
  <c r="F205" i="10"/>
  <c r="G205" i="10" s="1"/>
  <c r="F312" i="10"/>
  <c r="G312" i="10" s="1"/>
  <c r="F157" i="10"/>
  <c r="G157" i="10" s="1"/>
  <c r="F116" i="10"/>
  <c r="G116" i="10" s="1"/>
  <c r="F310" i="10"/>
  <c r="G310" i="10" s="1"/>
  <c r="F192" i="10"/>
  <c r="G192" i="10" s="1"/>
  <c r="F244" i="10"/>
  <c r="G244" i="10" s="1"/>
  <c r="F309" i="10"/>
  <c r="G309" i="10" s="1"/>
  <c r="F319" i="10"/>
  <c r="G319" i="10" s="1"/>
  <c r="F292" i="10"/>
  <c r="G292" i="10" s="1"/>
  <c r="F197" i="10"/>
  <c r="G197" i="10" s="1"/>
  <c r="F259" i="10"/>
  <c r="G259" i="10" s="1"/>
  <c r="F37" i="10"/>
  <c r="G37" i="10" s="1"/>
  <c r="F256" i="10"/>
  <c r="G256" i="10" s="1"/>
  <c r="F179" i="10"/>
  <c r="G179" i="10" s="1"/>
  <c r="F135" i="10"/>
  <c r="G135" i="10" s="1"/>
  <c r="F134" i="10"/>
  <c r="G134" i="10" s="1"/>
  <c r="F119" i="10"/>
  <c r="G119" i="10" s="1"/>
  <c r="F22" i="10"/>
  <c r="G22" i="10" s="1"/>
  <c r="F118" i="10"/>
  <c r="G118" i="10" s="1"/>
  <c r="F320" i="10"/>
  <c r="G320" i="10" s="1"/>
  <c r="F280" i="10"/>
  <c r="G280" i="10" s="1"/>
  <c r="F87" i="10"/>
  <c r="G87" i="10" s="1"/>
  <c r="F138" i="10"/>
  <c r="G138" i="10" s="1"/>
  <c r="F238" i="10"/>
  <c r="G238" i="10" s="1"/>
  <c r="F112" i="10"/>
  <c r="G112" i="10" s="1"/>
  <c r="F89" i="10"/>
  <c r="G89" i="10" s="1"/>
  <c r="F53" i="10"/>
  <c r="G53" i="10" s="1"/>
  <c r="F313" i="10"/>
  <c r="G313" i="10" s="1"/>
  <c r="F68" i="10"/>
  <c r="G68" i="10" s="1"/>
  <c r="F51" i="10"/>
  <c r="G51" i="10" s="1"/>
  <c r="F263" i="10"/>
  <c r="G263" i="10" s="1"/>
  <c r="F147" i="10"/>
  <c r="G147" i="10" s="1"/>
  <c r="F202" i="10"/>
  <c r="G202" i="10" s="1"/>
  <c r="F276" i="10"/>
  <c r="G276" i="10" s="1"/>
  <c r="F282" i="10"/>
  <c r="G282" i="10" s="1"/>
  <c r="F26" i="10"/>
  <c r="G26" i="10" s="1"/>
  <c r="F41" i="10"/>
  <c r="G41" i="10" s="1"/>
  <c r="F201" i="10"/>
  <c r="G201" i="10" s="1"/>
  <c r="F44" i="10"/>
  <c r="G44" i="10" s="1"/>
  <c r="F233" i="10"/>
  <c r="G233" i="10" s="1"/>
  <c r="F227" i="10"/>
  <c r="G227" i="10" s="1"/>
  <c r="F321" i="10"/>
  <c r="G321" i="10" s="1"/>
  <c r="F133" i="10"/>
  <c r="G133" i="10" s="1"/>
  <c r="F32" i="10"/>
  <c r="G32" i="10" s="1"/>
  <c r="F255" i="10"/>
  <c r="G255" i="10" s="1"/>
  <c r="F155" i="10"/>
  <c r="G155" i="10" s="1"/>
  <c r="F78" i="10"/>
  <c r="G78" i="10" s="1"/>
  <c r="F176" i="10"/>
  <c r="G176" i="10" s="1"/>
  <c r="F300" i="10"/>
  <c r="G300" i="10" s="1"/>
  <c r="F25" i="10"/>
  <c r="G25" i="10" s="1"/>
  <c r="F283" i="10"/>
  <c r="G283" i="10" s="1"/>
  <c r="F196" i="10"/>
  <c r="G196" i="10" s="1"/>
  <c r="F61" i="10"/>
  <c r="G61" i="10" s="1"/>
  <c r="F42" i="10"/>
  <c r="G42" i="10" s="1"/>
  <c r="F245" i="10"/>
  <c r="G245" i="10" s="1"/>
  <c r="F207" i="10"/>
  <c r="G207" i="10" s="1"/>
  <c r="F30" i="10"/>
  <c r="G30" i="10" s="1"/>
  <c r="F8" i="10"/>
  <c r="G8" i="10" s="1"/>
  <c r="F88" i="10"/>
  <c r="G88" i="10" s="1"/>
  <c r="F101" i="10"/>
  <c r="G101" i="10" s="1"/>
  <c r="F248" i="10"/>
  <c r="G248" i="10" s="1"/>
  <c r="F158" i="10"/>
  <c r="G158" i="10" s="1"/>
  <c r="F168" i="10"/>
  <c r="G168" i="10" s="1"/>
  <c r="F47" i="10"/>
  <c r="G47" i="10" s="1"/>
  <c r="F317" i="10"/>
  <c r="G317" i="10" s="1"/>
  <c r="F65" i="10"/>
  <c r="G65" i="10" s="1"/>
  <c r="F59" i="10"/>
  <c r="G59" i="10" s="1"/>
  <c r="F209" i="10"/>
  <c r="G209" i="10" s="1"/>
  <c r="F39" i="10"/>
  <c r="G39" i="10" s="1"/>
  <c r="F29" i="10"/>
  <c r="G29" i="10" s="1"/>
  <c r="F223" i="10"/>
  <c r="G223" i="10" s="1"/>
  <c r="F149" i="10"/>
  <c r="G149" i="10" s="1"/>
  <c r="F12" i="10"/>
  <c r="G12" i="10" s="1"/>
  <c r="F143" i="10"/>
  <c r="G143" i="10" s="1"/>
  <c r="F84" i="10"/>
  <c r="G84" i="10" s="1"/>
  <c r="F49" i="10"/>
  <c r="G49" i="10" s="1"/>
  <c r="F257" i="10"/>
  <c r="G257" i="10" s="1"/>
  <c r="F75" i="10"/>
  <c r="G75" i="10" s="1"/>
  <c r="F3" i="10"/>
  <c r="G3" i="10" s="1"/>
  <c r="F72" i="10"/>
  <c r="G72" i="10" s="1"/>
  <c r="F166" i="10"/>
  <c r="G166" i="10" s="1"/>
  <c r="F20" i="10"/>
  <c r="G20" i="10" s="1"/>
  <c r="F161" i="10"/>
  <c r="G161" i="10" s="1"/>
  <c r="F71" i="10"/>
  <c r="G71" i="10" s="1"/>
  <c r="F130" i="10"/>
  <c r="G130" i="10" s="1"/>
  <c r="F219" i="10"/>
  <c r="G219" i="10" s="1"/>
  <c r="F2" i="10"/>
  <c r="G2" i="10" s="1"/>
  <c r="F55" i="10"/>
  <c r="G55" i="10" s="1"/>
  <c r="F46" i="10"/>
  <c r="G46" i="10" s="1"/>
  <c r="F273" i="10"/>
  <c r="G273" i="10" s="1"/>
  <c r="F246" i="10"/>
  <c r="G246" i="10" s="1"/>
  <c r="F164" i="10"/>
  <c r="G164" i="10" s="1"/>
  <c r="F10" i="10"/>
  <c r="G10" i="10" s="1"/>
  <c r="F298" i="10"/>
  <c r="G298" i="10" s="1"/>
  <c r="F185" i="10"/>
  <c r="G185" i="10" s="1"/>
  <c r="F279" i="10"/>
  <c r="G279" i="10" s="1"/>
  <c r="F67" i="10"/>
  <c r="G67" i="10" s="1"/>
  <c r="F253" i="10"/>
  <c r="G253" i="10" s="1"/>
  <c r="F295" i="10"/>
  <c r="G295" i="10" s="1"/>
  <c r="F5" i="10"/>
  <c r="G5" i="10" s="1"/>
  <c r="F182" i="10"/>
  <c r="G182" i="10" s="1"/>
  <c r="F34" i="10"/>
  <c r="G34" i="10" s="1"/>
  <c r="F150" i="10"/>
  <c r="G150" i="10" s="1"/>
  <c r="F102" i="10"/>
  <c r="G102" i="10" s="1"/>
  <c r="F189" i="10"/>
  <c r="G189" i="10" s="1"/>
  <c r="F297" i="10"/>
  <c r="G297" i="10" s="1"/>
  <c r="F215" i="10"/>
  <c r="G215" i="10" s="1"/>
  <c r="F281" i="10"/>
  <c r="G281" i="10" s="1"/>
  <c r="F286" i="10"/>
  <c r="G286" i="10" s="1"/>
  <c r="F178" i="10"/>
  <c r="G178" i="10" s="1"/>
  <c r="F220" i="10"/>
  <c r="G220" i="10" s="1"/>
  <c r="F304" i="10"/>
  <c r="G304" i="10" s="1"/>
  <c r="F85" i="10"/>
  <c r="G85" i="10" s="1"/>
  <c r="F36" i="10"/>
  <c r="G36" i="10" s="1"/>
  <c r="F124" i="10"/>
  <c r="G124" i="10" s="1"/>
  <c r="F57" i="10"/>
  <c r="G57" i="10" s="1"/>
  <c r="F93" i="10"/>
  <c r="G93" i="10" s="1"/>
  <c r="F52" i="10"/>
  <c r="G52" i="10" s="1"/>
  <c r="F99" i="10"/>
  <c r="G99" i="10" s="1"/>
  <c r="F277" i="10"/>
  <c r="G277" i="10" s="1"/>
  <c r="F260" i="10"/>
  <c r="G260" i="10" s="1"/>
  <c r="F206" i="10"/>
  <c r="G206" i="10" s="1"/>
  <c r="F191" i="10"/>
  <c r="G191" i="10" s="1"/>
  <c r="F231" i="10"/>
  <c r="G231" i="10" s="1"/>
  <c r="F111" i="10"/>
  <c r="G111" i="10" s="1"/>
  <c r="F60" i="10"/>
  <c r="G60" i="10" s="1"/>
  <c r="F82" i="10"/>
  <c r="G82" i="10" s="1"/>
  <c r="F234" i="10"/>
  <c r="G234" i="10" s="1"/>
  <c r="F137" i="10"/>
  <c r="G137" i="10" s="1"/>
  <c r="F274" i="10"/>
  <c r="G274" i="10" s="1"/>
  <c r="F181" i="10"/>
  <c r="G181" i="10" s="1"/>
  <c r="F165" i="10"/>
  <c r="G165" i="10" s="1"/>
  <c r="F249" i="10"/>
  <c r="G249" i="10" s="1"/>
  <c r="F23" i="10"/>
  <c r="G23" i="10" s="1"/>
  <c r="F35" i="10"/>
  <c r="G35" i="10" s="1"/>
  <c r="F275" i="10"/>
  <c r="G275" i="10" s="1"/>
  <c r="F11" i="10"/>
  <c r="G11" i="10" s="1"/>
  <c r="F190" i="10"/>
  <c r="G190" i="10" s="1"/>
  <c r="F162" i="10"/>
  <c r="G162" i="10" s="1"/>
  <c r="F43" i="10"/>
  <c r="G43" i="10" s="1"/>
  <c r="F222" i="10"/>
  <c r="G222" i="10" s="1"/>
  <c r="F169" i="10"/>
  <c r="G169" i="10" s="1"/>
  <c r="F114" i="10"/>
  <c r="G114" i="10" s="1"/>
  <c r="F264" i="10"/>
  <c r="G264" i="10" s="1"/>
  <c r="F306" i="10"/>
  <c r="G306" i="10" s="1"/>
  <c r="F91" i="10"/>
  <c r="G91" i="10" s="1"/>
  <c r="F232" i="10"/>
  <c r="G232" i="10" s="1"/>
  <c r="F167" i="10"/>
  <c r="G167" i="10" s="1"/>
  <c r="F271" i="10"/>
  <c r="G271" i="10" s="1"/>
  <c r="F254" i="10"/>
  <c r="G254" i="10" s="1"/>
  <c r="F247" i="10"/>
  <c r="G247" i="10" s="1"/>
  <c r="F77" i="10"/>
  <c r="G77" i="10" s="1"/>
  <c r="F15" i="10"/>
  <c r="G15" i="10" s="1"/>
  <c r="F50" i="10"/>
  <c r="G50" i="10" s="1"/>
  <c r="F18" i="10"/>
  <c r="G18" i="10" s="1"/>
  <c r="F148" i="10"/>
  <c r="G148" i="10" s="1"/>
  <c r="F170" i="10"/>
  <c r="G170" i="10" s="1"/>
  <c r="F175" i="10"/>
  <c r="G175" i="10" s="1"/>
  <c r="F193" i="10"/>
  <c r="G193" i="10" s="1"/>
  <c r="F218" i="10"/>
  <c r="G218" i="10" s="1"/>
  <c r="F100" i="10"/>
  <c r="G100" i="10" s="1"/>
  <c r="F28" i="10"/>
  <c r="G28" i="10" s="1"/>
  <c r="F136" i="10"/>
  <c r="G136" i="10" s="1"/>
  <c r="F70" i="10"/>
  <c r="G70" i="10" s="1"/>
  <c r="F141" i="10"/>
  <c r="G141" i="10" s="1"/>
  <c r="F242" i="10"/>
  <c r="G242" i="10" s="1"/>
  <c r="F285" i="10"/>
  <c r="G285" i="10" s="1"/>
  <c r="F284" i="10"/>
  <c r="G284" i="10" s="1"/>
  <c r="F216" i="10"/>
  <c r="G216" i="10" s="1"/>
  <c r="F177" i="10"/>
  <c r="G177" i="10" s="1"/>
  <c r="F311" i="10"/>
  <c r="G311" i="10" s="1"/>
  <c r="F58" i="10"/>
  <c r="G58" i="10" s="1"/>
  <c r="F258" i="10"/>
  <c r="G258" i="10" s="1"/>
  <c r="F265" i="10"/>
  <c r="G265" i="10" s="1"/>
  <c r="F17" i="10"/>
  <c r="G17" i="10" s="1"/>
  <c r="F195" i="10"/>
  <c r="G195" i="10" s="1"/>
  <c r="F4" i="10"/>
  <c r="G4" i="10" s="1"/>
  <c r="F262" i="10"/>
  <c r="G262" i="10" s="1"/>
  <c r="F236" i="10"/>
  <c r="G236" i="10" s="1"/>
  <c r="F208" i="10"/>
  <c r="G208" i="10" s="1"/>
  <c r="F38" i="10"/>
  <c r="G38" i="10" s="1"/>
  <c r="F294" i="10"/>
  <c r="G294" i="10" s="1"/>
  <c r="F302" i="10"/>
  <c r="G302" i="10" s="1"/>
  <c r="F140" i="10"/>
  <c r="G140" i="10" s="1"/>
  <c r="F307" i="10"/>
  <c r="G307" i="10" s="1"/>
  <c r="F221" i="10"/>
  <c r="G221" i="10" s="1"/>
  <c r="F213" i="10"/>
  <c r="G213" i="10" s="1"/>
  <c r="F73" i="10"/>
  <c r="G73" i="10" s="1"/>
  <c r="F66" i="10"/>
  <c r="G66" i="10" s="1"/>
  <c r="F184" i="10"/>
  <c r="G184" i="10" s="1"/>
  <c r="F129" i="10"/>
  <c r="G129" i="10" s="1"/>
  <c r="F74" i="10"/>
  <c r="G74" i="10" s="1"/>
  <c r="F142" i="10"/>
  <c r="G142" i="10" s="1"/>
  <c r="F40" i="10"/>
  <c r="G40" i="10" s="1"/>
  <c r="F117" i="10"/>
  <c r="G117" i="10" s="1"/>
  <c r="F145" i="10"/>
  <c r="G145" i="10" s="1"/>
  <c r="F186" i="10"/>
  <c r="G186" i="10" s="1"/>
  <c r="F199" i="10"/>
  <c r="G199" i="10" s="1"/>
  <c r="F267" i="10"/>
  <c r="G267" i="10" s="1"/>
  <c r="F90" i="10"/>
  <c r="G90" i="10" s="1"/>
  <c r="F139" i="10"/>
  <c r="G139" i="10" s="1"/>
  <c r="F251" i="10"/>
  <c r="G251" i="10" s="1"/>
  <c r="F94" i="10"/>
  <c r="G94" i="10" s="1"/>
  <c r="F289" i="10"/>
  <c r="G289" i="10" s="1"/>
  <c r="F48" i="10"/>
  <c r="G48" i="10" s="1"/>
  <c r="F270" i="10"/>
  <c r="G270" i="10" s="1"/>
  <c r="F104" i="10"/>
  <c r="G104" i="10" s="1"/>
  <c r="F56" i="10"/>
  <c r="G56" i="10" s="1"/>
  <c r="F19" i="10"/>
  <c r="G19" i="10" s="1"/>
  <c r="F127" i="10"/>
  <c r="G127" i="10" s="1"/>
  <c r="F154" i="10"/>
  <c r="G154" i="10" s="1"/>
  <c r="F293" i="10"/>
  <c r="G293" i="10" s="1"/>
  <c r="F188" i="10"/>
  <c r="G188" i="10" s="1"/>
  <c r="F183" i="10"/>
  <c r="G183" i="10" s="1"/>
  <c r="F122" i="10"/>
  <c r="G122" i="10" s="1"/>
  <c r="F64" i="10"/>
  <c r="G64" i="10" s="1"/>
  <c r="F63" i="10"/>
  <c r="G63" i="10" s="1"/>
  <c r="F98" i="10"/>
  <c r="G98" i="10" s="1"/>
  <c r="F110" i="10"/>
  <c r="G110" i="10" s="1"/>
  <c r="F131" i="10"/>
  <c r="G131" i="10" s="1"/>
  <c r="F153" i="10"/>
  <c r="G153" i="10" s="1"/>
  <c r="F266" i="10"/>
  <c r="G266" i="10" s="1"/>
  <c r="F226" i="10"/>
  <c r="G226" i="10" s="1"/>
  <c r="F121" i="10"/>
  <c r="G121" i="10" s="1"/>
  <c r="F198" i="10"/>
  <c r="G198" i="10" s="1"/>
  <c r="F173" i="10"/>
  <c r="G173" i="10" s="1"/>
  <c r="F106" i="10"/>
  <c r="G106" i="10" s="1"/>
  <c r="F113" i="10"/>
  <c r="G113" i="10" s="1"/>
  <c r="F6" i="10"/>
  <c r="G6" i="10" s="1"/>
  <c r="F45" i="10"/>
  <c r="G45" i="10" s="1"/>
  <c r="F229" i="10"/>
  <c r="G229" i="10" s="1"/>
  <c r="F7" i="10"/>
  <c r="G7" i="10" s="1"/>
  <c r="F79" i="10"/>
  <c r="G79" i="10" s="1"/>
  <c r="F123" i="10"/>
  <c r="G123" i="10" s="1"/>
  <c r="F31" i="10"/>
  <c r="G31" i="10" s="1"/>
  <c r="F128" i="10"/>
  <c r="G128" i="10" s="1"/>
  <c r="F146" i="10"/>
  <c r="G146" i="10" s="1"/>
  <c r="F21" i="10"/>
  <c r="G21" i="10" s="1"/>
  <c r="F97" i="10"/>
  <c r="G97" i="10" s="1"/>
  <c r="F237" i="10"/>
  <c r="G237" i="10" s="1"/>
  <c r="F95" i="10"/>
  <c r="G95" i="10" s="1"/>
  <c r="F109" i="10"/>
  <c r="G109" i="10" s="1"/>
  <c r="F80" i="10"/>
  <c r="G80" i="10" s="1"/>
  <c r="F305" i="10"/>
  <c r="G305" i="10" s="1"/>
  <c r="F54" i="10"/>
  <c r="G54" i="10" s="1"/>
  <c r="F187" i="10"/>
  <c r="G187" i="10" s="1"/>
  <c r="F303" i="10"/>
  <c r="G303" i="10" s="1"/>
  <c r="F132" i="10"/>
  <c r="G132" i="10" s="1"/>
  <c r="F69" i="10"/>
  <c r="G69" i="10" s="1"/>
  <c r="F204" i="10"/>
  <c r="G204" i="10" s="1"/>
  <c r="F16" i="10"/>
  <c r="G16" i="10" s="1"/>
  <c r="F301" i="10"/>
  <c r="G301" i="10" s="1"/>
  <c r="F83" i="10"/>
  <c r="G83" i="10" s="1"/>
  <c r="F172" i="10"/>
  <c r="G172" i="10" s="1"/>
  <c r="F224" i="10"/>
  <c r="G224" i="10" s="1"/>
  <c r="F268" i="10"/>
  <c r="G268" i="10" s="1"/>
  <c r="F241" i="10"/>
  <c r="G241" i="10" s="1"/>
  <c r="F86" i="10"/>
  <c r="G86" i="10" s="1"/>
  <c r="F152" i="10"/>
  <c r="G152" i="10" s="1"/>
  <c r="F194" i="10"/>
  <c r="G194" i="10" s="1"/>
  <c r="F180" i="10"/>
  <c r="G180" i="10" s="1"/>
  <c r="F160" i="10"/>
  <c r="G160" i="10" s="1"/>
  <c r="F212" i="10"/>
  <c r="G212" i="10" s="1"/>
  <c r="F120" i="10"/>
  <c r="G120" i="10" s="1"/>
  <c r="F269" i="10"/>
  <c r="G269" i="10" s="1"/>
  <c r="F9" i="10"/>
  <c r="G9" i="10" s="1"/>
  <c r="F230" i="10"/>
  <c r="G230" i="10" s="1"/>
  <c r="F252" i="10"/>
  <c r="G252" i="10" s="1"/>
  <c r="F125" i="10"/>
  <c r="G125" i="10" s="1"/>
  <c r="F144" i="10"/>
  <c r="G144" i="10" s="1"/>
  <c r="F92" i="10"/>
  <c r="G92" i="10" s="1"/>
  <c r="F174" i="10"/>
  <c r="G174" i="10" s="1"/>
  <c r="F14" i="10"/>
  <c r="G14" i="10" s="1"/>
  <c r="F240" i="10"/>
  <c r="G240" i="10" s="1"/>
  <c r="F299" i="10"/>
  <c r="G299" i="10" s="1"/>
  <c r="F211" i="10"/>
  <c r="G211" i="10" s="1"/>
  <c r="F151" i="10"/>
  <c r="G151" i="10" s="1"/>
  <c r="F159" i="10"/>
  <c r="G159" i="10" s="1"/>
  <c r="F33" i="10"/>
  <c r="G33" i="10" s="1"/>
  <c r="F81" i="10"/>
  <c r="G81" i="10" s="1"/>
  <c r="F316" i="10"/>
  <c r="G316" i="10" s="1"/>
  <c r="F62" i="10"/>
  <c r="G62" i="10" s="1"/>
  <c r="F290" i="10"/>
  <c r="G290" i="10" s="1"/>
  <c r="F210" i="10"/>
  <c r="G210" i="10" s="1"/>
  <c r="F261" i="10"/>
  <c r="G261" i="10" s="1"/>
  <c r="F200" i="10"/>
  <c r="G200" i="10" s="1"/>
  <c r="F96" i="10"/>
  <c r="G96" i="10" s="1"/>
  <c r="F108" i="10"/>
  <c r="G108" i="10" s="1"/>
  <c r="F272" i="10"/>
  <c r="G272" i="10" s="1"/>
  <c r="F115" i="10"/>
  <c r="G115" i="10" s="1"/>
  <c r="F103" i="10"/>
  <c r="G103" i="10" s="1"/>
  <c r="F296" i="10"/>
  <c r="G296" i="10" s="1"/>
  <c r="F163" i="10"/>
  <c r="G163" i="10" s="1"/>
  <c r="F217" i="10"/>
  <c r="G217" i="10" s="1"/>
  <c r="F278" i="10"/>
  <c r="G278" i="10" s="1"/>
  <c r="F288" i="10"/>
  <c r="G288" i="10" s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2" i="3"/>
</calcChain>
</file>

<file path=xl/sharedStrings.xml><?xml version="1.0" encoding="utf-8"?>
<sst xmlns="http://schemas.openxmlformats.org/spreadsheetml/2006/main" count="3039" uniqueCount="143">
  <si>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</si>
  <si>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</si>
  <si>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</si>
  <si>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</si>
  <si>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</si>
  <si>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</si>
  <si>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</si>
  <si>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</si>
  <si>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</si>
  <si>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</si>
  <si>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</si>
  <si>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</si>
  <si>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</si>
  <si>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</si>
  <si>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</si>
  <si>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</si>
  <si>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</si>
  <si>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</si>
  <si>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</si>
  <si>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</si>
  <si>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</si>
  <si>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</si>
  <si>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</si>
  <si>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</si>
  <si>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</si>
  <si>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</si>
  <si>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</si>
  <si>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</si>
  <si>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</si>
  <si>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</si>
  <si>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</si>
  <si>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</si>
  <si>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</si>
  <si>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</si>
  <si>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</si>
  <si>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</si>
  <si>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</si>
  <si>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</si>
  <si>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</si>
  <si>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</si>
  <si>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</si>
  <si>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</si>
  <si>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</si>
  <si>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</si>
  <si>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</si>
  <si>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</si>
  <si>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</si>
  <si>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</si>
  <si>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</si>
  <si>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</si>
  <si>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</si>
  <si>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</si>
  <si>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</si>
  <si>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</si>
  <si>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</si>
  <si>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</si>
  <si>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</si>
  <si>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</si>
  <si>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</si>
  <si>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</si>
  <si>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</si>
  <si>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</si>
  <si>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</si>
  <si>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</si>
  <si>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</si>
  <si>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</si>
  <si>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</si>
  <si>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</si>
  <si>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</si>
  <si>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</si>
  <si>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</si>
  <si>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</si>
  <si>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</si>
  <si>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</si>
  <si>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</si>
  <si>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</si>
  <si>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</si>
  <si>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</si>
  <si>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</si>
  <si>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</si>
  <si>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</si>
  <si>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</si>
  <si>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</si>
  <si>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</si>
  <si>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</si>
  <si>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</si>
  <si>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</si>
  <si>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</si>
  <si>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</si>
  <si>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</si>
  <si>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</si>
  <si>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</si>
  <si>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</si>
  <si>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</si>
  <si>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</si>
  <si>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</si>
  <si>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</si>
  <si>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</si>
  <si>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</si>
  <si>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</si>
  <si>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</si>
  <si>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</si>
  <si>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</si>
  <si>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</si>
  <si>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</si>
  <si>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</si>
  <si>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</si>
  <si>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</si>
  <si>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</si>
  <si>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</si>
  <si>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</si>
  <si>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</si>
  <si>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</si>
  <si>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</si>
  <si>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</si>
  <si>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</si>
  <si>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</si>
  <si>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</si>
  <si>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</si>
  <si>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</si>
  <si>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</si>
  <si>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</si>
  <si>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</si>
  <si>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</si>
  <si>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</si>
  <si>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</si>
  <si>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</si>
  <si>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</si>
  <si>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</si>
  <si>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</si>
  <si>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</si>
  <si>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</si>
  <si>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</si>
  <si>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Model</t>
  </si>
  <si>
    <t>Variables Used</t>
  </si>
  <si>
    <t>R²</t>
  </si>
  <si>
    <t>Simple Regression 1</t>
  </si>
  <si>
    <t>Marketing Spend</t>
  </si>
  <si>
    <t>Simple Regression 2</t>
  </si>
  <si>
    <t>Footfall</t>
  </si>
  <si>
    <t>Multiple Regression</t>
  </si>
  <si>
    <t>Marketing Spend, Footfall, Inventory Availability, Region North</t>
  </si>
  <si>
    <t>Predicted_Sales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</si>
</sst>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6" fillId="0" borderId="2" xfId="0" applyFont="1" applyFill="1" applyBorder="1" applyAlignment="1">
      <alignment horizontal="center"/>
    </xf>
    <xf numFmtId="0" fontId="2" fillId="0" borderId="0" xfId="0" applyFont="1"/>
    <xf numFmtId="0" fontId="1" fillId="3" borderId="0" xfId="0" applyFont="1" applyFill="1"/>
    <xf numFmtId="0" fontId="6" fillId="0" borderId="2" xfId="0" applyFont="1" applyFill="1" applyBorder="1" applyAlignment="1">
      <alignment horizontal="centerContinuous"/>
    </xf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0" borderId="9" xfId="0" applyFont="1" applyFill="1" applyBorder="1" applyAlignment="1">
      <alignment horizontal="centerContinuous"/>
    </xf>
    <xf numFmtId="0" fontId="5" fillId="0" borderId="3" xfId="0" applyFont="1" applyFill="1" applyBorder="1" applyAlignment="1">
      <alignment horizontal="centerContinuous"/>
    </xf>
    <xf numFmtId="0" fontId="0" fillId="0" borderId="9" xfId="0" applyFill="1" applyBorder="1" applyAlignment="1"/>
    <xf numFmtId="0" fontId="0" fillId="0" borderId="3" xfId="0" applyFill="1" applyBorder="1" applyAlignment="1"/>
    <xf numFmtId="0" fontId="2" fillId="0" borderId="9" xfId="0" applyFont="1" applyBorder="1"/>
    <xf numFmtId="0" fontId="5" fillId="0" borderId="9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5" xfId="0" applyFill="1" applyBorder="1" applyAlignment="1"/>
    <xf numFmtId="0" fontId="0" fillId="0" borderId="11" xfId="0" applyFill="1" applyBorder="1" applyAlignment="1"/>
    <xf numFmtId="0" fontId="0" fillId="0" borderId="11" xfId="0" applyBorder="1"/>
    <xf numFmtId="0" fontId="3" fillId="2" borderId="0" xfId="0" applyFont="1" applyFill="1" applyAlignment="1">
      <alignment horizontal="center" wrapText="1"/>
    </xf>
    <xf numFmtId="0" fontId="7" fillId="3" borderId="0" xfId="0" applyFont="1" applyFill="1" applyAlignment="1"/>
  </cellXfs>
  <cellStyles count="1">
    <cellStyle name="Normal" xfId="0" builtinId="0"/>
  </cellStyles>
  <dxfs count="2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A6EAD-604E-4B31-98E7-7BC1CC0473EC}" name="Table2" displayName="Table2" ref="A2:J345" headerRowCount="0" totalsRowShown="0">
  <tableColumns count="10">
    <tableColumn id="1" xr3:uid="{EB38FC66-B7DC-45A0-BB9F-3513595B2196}" name="Column1" headerRowDxfId="20" dataDxfId="24"/>
    <tableColumn id="2" xr3:uid="{D0228D05-A1BF-4ED2-BF7B-49102985E0B3}" name="Column2" headerRowDxfId="21" dataDxfId="23"/>
    <tableColumn id="3" xr3:uid="{419ADD37-FC2B-49D0-BEF2-6190D72CA7A1}" name="Column3" dataDxfId="22"/>
    <tableColumn id="4" xr3:uid="{4C33D1C2-3E7F-47D8-ADE7-42488C8A49EA}" name="Column4"/>
    <tableColumn id="5" xr3:uid="{E936E7F9-D2E0-4808-A0FD-B3DFA9CB1C41}" name="Column5"/>
    <tableColumn id="6" xr3:uid="{F1254531-70D8-4A43-A10D-D4A6172B0052}" name="Column6"/>
    <tableColumn id="7" xr3:uid="{C29A1DF3-7421-437E-905F-95E002CBA491}" name="Column7"/>
    <tableColumn id="8" xr3:uid="{6C8AADB8-2554-40B1-9EC5-D54A6B3EEE26}" name="Column8"/>
    <tableColumn id="9" xr3:uid="{961D9618-BDFB-44F4-BD4F-36D03C98A944}" name="Column9"/>
    <tableColumn id="10" xr3:uid="{865AEF61-1FED-42A7-AF76-E9D7DD014135}" name="Column1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41B44C-9177-4C8C-A908-9D28120AC0A2}" name="Table3" displayName="Table3" ref="A2:K348" headerRowCount="0" totalsRowShown="0">
  <tableColumns count="11">
    <tableColumn id="1" xr3:uid="{72F29B5A-4C15-4B49-8648-B5DFAAC9E84A}" name="Column1"/>
    <tableColumn id="2" xr3:uid="{57A5474A-E54F-47AC-A91B-20CAA6DA49E9}" name="Column2"/>
    <tableColumn id="3" xr3:uid="{27A21503-DEB9-43F0-AAFC-A0277F206B7E}" name="Column3"/>
    <tableColumn id="4" xr3:uid="{AC74CF0D-E8C9-40CA-A541-6268C28FC556}" name="Column4"/>
    <tableColumn id="5" xr3:uid="{C75E6A56-67C9-4ECF-9187-294E01A84998}" name="Column5"/>
    <tableColumn id="6" xr3:uid="{96A634CA-3984-44ED-9150-E77368347D4A}" name="Column6"/>
    <tableColumn id="7" xr3:uid="{F928CBF8-492A-4BC3-9FA7-C418C27E8C63}" name="Column7"/>
    <tableColumn id="8" xr3:uid="{302A7CF6-7F51-4FD7-87F2-286E2381E555}" name="Column8"/>
    <tableColumn id="9" xr3:uid="{F0AFE42F-E31F-442B-A4BF-FA641057EA90}" name="Column9"/>
    <tableColumn id="10" xr3:uid="{52F35200-FBE8-407C-992E-6C74F5952418}" name="Column10"/>
    <tableColumn id="11" xr3:uid="{90191393-FF37-40A0-9159-8E841A2E7FB3}" name="Column11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01217D-23BC-48BF-B36A-2CC989DA3BB5}" name="Table4" displayName="Table4" ref="G2:O348" headerRowCount="0" totalsRowShown="0" headerRowDxfId="0" tableBorderDxfId="11" totalsRowBorderDxfId="10">
  <tableColumns count="9">
    <tableColumn id="1" xr3:uid="{455BFB31-CBA2-466B-9B98-84C3B9E5882D}" name="Column1" dataDxfId="9"/>
    <tableColumn id="2" xr3:uid="{BC240133-A167-4AE6-8B10-7C37B8682B09}" name="Column2" dataDxfId="8"/>
    <tableColumn id="3" xr3:uid="{9926EC6F-166B-4BFD-8D50-662B28200571}" name="Column3" dataDxfId="7"/>
    <tableColumn id="4" xr3:uid="{1B35BDED-2208-4E07-9CEB-597FB7F5E4C9}" name="Column4" dataDxfId="6"/>
    <tableColumn id="5" xr3:uid="{6103A9AB-36FA-4AD6-8655-540397980720}" name="Column5" dataDxfId="5"/>
    <tableColumn id="6" xr3:uid="{FC6913EC-6F15-460D-AEAC-9579C5773241}" name="Column6" dataDxfId="4"/>
    <tableColumn id="7" xr3:uid="{F2F6ABC7-6532-464A-B99C-94FAEB198566}" name="Column7" dataDxfId="3"/>
    <tableColumn id="8" xr3:uid="{DEE95415-0DB1-4404-A8CC-9FD42023F7EF}" name="Column8" dataDxfId="2"/>
    <tableColumn id="9" xr3:uid="{6DC42E3B-0434-4038-AF14-7EF212D55D39}" name="Column9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561FBE-D8E2-4EBA-9E74-404FDE1CAE91}" name="Table5" displayName="Table5" ref="A1:C4" totalsRowShown="0" headerRowDxfId="12" dataDxfId="19" headerRowBorderDxfId="17" tableBorderDxfId="18" totalsRowBorderDxfId="16">
  <autoFilter ref="A1:C4" xr:uid="{77561FBE-D8E2-4EBA-9E74-404FDE1CAE91}"/>
  <tableColumns count="3">
    <tableColumn id="1" xr3:uid="{04372FB7-CA1B-4C38-AC1C-BE4D0EB6B2D7}" name="Model" dataDxfId="15"/>
    <tableColumn id="2" xr3:uid="{D6A7F3CC-587C-40ED-B0CC-3F13D960B92E}" name="Variables Used" dataDxfId="14"/>
    <tableColumn id="3" xr3:uid="{0095B066-9F8A-47A4-AC99-F3FE067C7A0D}" name="R²" dataDxfId="1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28FF-6CAE-487F-B00B-CCBABD9E498F}">
  <dimension ref="A1:N321"/>
  <sheetViews>
    <sheetView topLeftCell="B12" workbookViewId="0">
      <selection activeCell="D36" sqref="D36"/>
    </sheetView>
  </sheetViews>
  <sheetFormatPr defaultRowHeight="14.4"/>
  <cols>
    <col min="1" max="1" width="12.88671875" customWidth="1"/>
    <col min="2" max="2" width="17" customWidth="1"/>
    <col min="3" max="3" width="16.77734375" customWidth="1"/>
    <col min="4" max="4" width="16" customWidth="1"/>
    <col min="5" max="5" width="23.88671875" customWidth="1"/>
    <col min="6" max="6" width="19.88671875" customWidth="1"/>
    <col min="7" max="7" width="21.88671875" customWidth="1"/>
    <col min="8" max="8" width="21" customWidth="1"/>
    <col min="9" max="9" width="27.33203125" customWidth="1"/>
    <col min="10" max="10" width="24.44140625" customWidth="1"/>
    <col min="11" max="11" width="18.109375" customWidth="1"/>
    <col min="12" max="12" width="21.6640625" customWidth="1"/>
    <col min="14" max="14" width="16.33203125" customWidth="1"/>
  </cols>
  <sheetData>
    <row r="1" spans="1:14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B665-2765-4EBB-881F-69560AAF78E9}">
  <dimension ref="A1:N321"/>
  <sheetViews>
    <sheetView topLeftCell="G1" workbookViewId="0">
      <selection activeCell="L319" sqref="L319"/>
    </sheetView>
  </sheetViews>
  <sheetFormatPr defaultRowHeight="14.4"/>
  <cols>
    <col min="1" max="1" width="12.88671875" customWidth="1"/>
    <col min="2" max="2" width="17" customWidth="1"/>
    <col min="3" max="3" width="16.77734375" customWidth="1"/>
    <col min="4" max="4" width="16" customWidth="1"/>
    <col min="5" max="5" width="23.88671875" customWidth="1"/>
    <col min="6" max="6" width="19.88671875" customWidth="1"/>
    <col min="7" max="7" width="21.88671875" customWidth="1"/>
    <col min="8" max="8" width="21" customWidth="1"/>
    <col min="9" max="9" width="27.33203125" customWidth="1"/>
    <col min="10" max="10" width="28.6640625" customWidth="1"/>
    <col min="11" max="11" width="18.109375" customWidth="1"/>
    <col min="12" max="12" width="21.6640625" customWidth="1"/>
    <col min="14" max="14" width="16.33203125" customWidth="1"/>
  </cols>
  <sheetData>
    <row r="1" spans="1:14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3.36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3.36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3.36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3.36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3.36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3.36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D30E-C6E0-46A8-96A5-991AE61F75D2}">
  <dimension ref="A1:Q321"/>
  <sheetViews>
    <sheetView tabSelected="1" topLeftCell="I1" workbookViewId="0">
      <selection activeCell="Q1" sqref="Q1"/>
    </sheetView>
  </sheetViews>
  <sheetFormatPr defaultRowHeight="14.4"/>
  <cols>
    <col min="1" max="1" width="12.88671875" customWidth="1"/>
    <col min="2" max="2" width="17" customWidth="1"/>
    <col min="3" max="3" width="16.77734375" customWidth="1"/>
    <col min="4" max="4" width="16" customWidth="1"/>
    <col min="5" max="5" width="23.88671875" customWidth="1"/>
    <col min="6" max="6" width="19.88671875" customWidth="1"/>
    <col min="7" max="7" width="21.88671875" customWidth="1"/>
    <col min="8" max="8" width="21" customWidth="1"/>
    <col min="9" max="9" width="27.33203125" customWidth="1"/>
    <col min="10" max="10" width="28.6640625" customWidth="1"/>
    <col min="11" max="11" width="18.109375" customWidth="1"/>
    <col min="12" max="12" width="21.6640625" customWidth="1"/>
    <col min="14" max="14" width="16.33203125" customWidth="1"/>
    <col min="15" max="15" width="11.88671875" bestFit="1" customWidth="1"/>
    <col min="16" max="16" width="11.77734375" bestFit="1" customWidth="1"/>
    <col min="17" max="17" width="11.33203125" bestFit="1" customWidth="1"/>
  </cols>
  <sheetData>
    <row r="1" spans="1:17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102</v>
      </c>
      <c r="P1" s="12" t="s">
        <v>103</v>
      </c>
      <c r="Q1" s="43" t="s">
        <v>104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IF(C2="North",1,0)</f>
        <v>0</v>
      </c>
      <c r="P2" s="3">
        <f>IF(C2="South",1,0)</f>
        <v>0</v>
      </c>
      <c r="Q2" s="3">
        <f>IF(C2="West",1,0)</f>
        <v>0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IF(C3="North",1,0)</f>
        <v>0</v>
      </c>
      <c r="P3" s="3">
        <f t="shared" ref="P3:P66" si="1">IF(C3="South",1,0)</f>
        <v>0</v>
      </c>
      <c r="Q3" s="3">
        <f t="shared" ref="Q3:Q66" si="2">IF(C3="West",1,0)</f>
        <v>0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 s="3">
        <f t="shared" si="1"/>
        <v>0</v>
      </c>
      <c r="Q4" s="3">
        <f t="shared" si="2"/>
        <v>0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 s="3">
        <f t="shared" si="1"/>
        <v>0</v>
      </c>
      <c r="Q5" s="3">
        <f t="shared" si="2"/>
        <v>0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 s="3">
        <f t="shared" si="1"/>
        <v>0</v>
      </c>
      <c r="Q6" s="3">
        <f t="shared" si="2"/>
        <v>0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 s="3">
        <f t="shared" si="1"/>
        <v>0</v>
      </c>
      <c r="Q7" s="3">
        <f t="shared" si="2"/>
        <v>0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 s="3">
        <f t="shared" si="1"/>
        <v>0</v>
      </c>
      <c r="Q8" s="3">
        <f t="shared" si="2"/>
        <v>0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 s="3">
        <f t="shared" si="1"/>
        <v>0</v>
      </c>
      <c r="Q9" s="3">
        <f t="shared" si="2"/>
        <v>0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1</v>
      </c>
      <c r="P10" s="3">
        <f t="shared" si="1"/>
        <v>0</v>
      </c>
      <c r="Q10" s="3">
        <f t="shared" si="2"/>
        <v>0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1</v>
      </c>
      <c r="P11" s="3">
        <f t="shared" si="1"/>
        <v>0</v>
      </c>
      <c r="Q11" s="3">
        <f t="shared" si="2"/>
        <v>0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1</v>
      </c>
      <c r="P12" s="3">
        <f t="shared" si="1"/>
        <v>0</v>
      </c>
      <c r="Q12" s="3">
        <f t="shared" si="2"/>
        <v>0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1</v>
      </c>
      <c r="P13" s="3">
        <f t="shared" si="1"/>
        <v>0</v>
      </c>
      <c r="Q13" s="3">
        <f t="shared" si="2"/>
        <v>0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 s="3">
        <f t="shared" si="1"/>
        <v>0</v>
      </c>
      <c r="Q14" s="3">
        <f t="shared" si="2"/>
        <v>0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 s="3">
        <f t="shared" si="1"/>
        <v>0</v>
      </c>
      <c r="Q15" s="3">
        <f t="shared" si="2"/>
        <v>0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 s="3">
        <f t="shared" si="1"/>
        <v>0</v>
      </c>
      <c r="Q16" s="3">
        <f t="shared" si="2"/>
        <v>0</v>
      </c>
    </row>
    <row r="17" spans="1:17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 s="3">
        <f t="shared" si="1"/>
        <v>0</v>
      </c>
      <c r="Q17" s="3">
        <f t="shared" si="2"/>
        <v>0</v>
      </c>
    </row>
    <row r="18" spans="1:17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 s="3">
        <f t="shared" si="1"/>
        <v>1</v>
      </c>
      <c r="Q18" s="3">
        <f t="shared" si="2"/>
        <v>0</v>
      </c>
    </row>
    <row r="19" spans="1:17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 s="3">
        <f t="shared" si="1"/>
        <v>1</v>
      </c>
      <c r="Q19" s="3">
        <f t="shared" si="2"/>
        <v>0</v>
      </c>
    </row>
    <row r="20" spans="1:17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 s="3">
        <f t="shared" si="1"/>
        <v>1</v>
      </c>
      <c r="Q20" s="3">
        <f t="shared" si="2"/>
        <v>0</v>
      </c>
    </row>
    <row r="21" spans="1:17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 s="3">
        <f t="shared" si="1"/>
        <v>1</v>
      </c>
      <c r="Q21" s="3">
        <f t="shared" si="2"/>
        <v>0</v>
      </c>
    </row>
    <row r="22" spans="1:17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1</v>
      </c>
      <c r="P22" s="3">
        <f t="shared" si="1"/>
        <v>0</v>
      </c>
      <c r="Q22" s="3">
        <f t="shared" si="2"/>
        <v>0</v>
      </c>
    </row>
    <row r="23" spans="1:17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1</v>
      </c>
      <c r="P23" s="3">
        <f t="shared" si="1"/>
        <v>0</v>
      </c>
      <c r="Q23" s="3">
        <f t="shared" si="2"/>
        <v>0</v>
      </c>
    </row>
    <row r="24" spans="1:17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1</v>
      </c>
      <c r="P24" s="3">
        <f t="shared" si="1"/>
        <v>0</v>
      </c>
      <c r="Q24" s="3">
        <f t="shared" si="2"/>
        <v>0</v>
      </c>
    </row>
    <row r="25" spans="1:17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1</v>
      </c>
      <c r="P25" s="3">
        <f t="shared" si="1"/>
        <v>0</v>
      </c>
      <c r="Q25" s="3">
        <f t="shared" si="2"/>
        <v>0</v>
      </c>
    </row>
    <row r="26" spans="1:17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 s="3">
        <f t="shared" si="1"/>
        <v>0</v>
      </c>
      <c r="Q26" s="3">
        <f t="shared" si="2"/>
        <v>1</v>
      </c>
    </row>
    <row r="27" spans="1:17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 s="3">
        <f t="shared" si="1"/>
        <v>0</v>
      </c>
      <c r="Q27" s="3">
        <f t="shared" si="2"/>
        <v>1</v>
      </c>
    </row>
    <row r="28" spans="1:17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 s="3">
        <f t="shared" si="1"/>
        <v>0</v>
      </c>
      <c r="Q28" s="3">
        <f t="shared" si="2"/>
        <v>1</v>
      </c>
    </row>
    <row r="29" spans="1:17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 s="3">
        <f t="shared" si="1"/>
        <v>0</v>
      </c>
      <c r="Q29" s="3">
        <f t="shared" si="2"/>
        <v>1</v>
      </c>
    </row>
    <row r="30" spans="1:17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 s="3">
        <f t="shared" si="1"/>
        <v>0</v>
      </c>
      <c r="Q30" s="3">
        <f t="shared" si="2"/>
        <v>0</v>
      </c>
    </row>
    <row r="31" spans="1:17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 s="3">
        <f t="shared" si="1"/>
        <v>0</v>
      </c>
      <c r="Q31" s="3">
        <f t="shared" si="2"/>
        <v>0</v>
      </c>
    </row>
    <row r="32" spans="1:17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 s="3">
        <f t="shared" si="1"/>
        <v>0</v>
      </c>
      <c r="Q32" s="3">
        <f t="shared" si="2"/>
        <v>0</v>
      </c>
    </row>
    <row r="33" spans="1:17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 s="3">
        <f t="shared" si="1"/>
        <v>0</v>
      </c>
      <c r="Q33" s="3">
        <f t="shared" si="2"/>
        <v>0</v>
      </c>
    </row>
    <row r="34" spans="1:17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1</v>
      </c>
      <c r="P34" s="3">
        <f t="shared" si="1"/>
        <v>0</v>
      </c>
      <c r="Q34" s="3">
        <f t="shared" si="2"/>
        <v>0</v>
      </c>
    </row>
    <row r="35" spans="1:17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>
        <v>799477.76000000001</v>
      </c>
      <c r="N35">
        <v>164974.41</v>
      </c>
      <c r="O35">
        <f t="shared" si="0"/>
        <v>1</v>
      </c>
      <c r="P35" s="3">
        <f t="shared" si="1"/>
        <v>0</v>
      </c>
      <c r="Q35" s="3">
        <f t="shared" si="2"/>
        <v>0</v>
      </c>
    </row>
    <row r="36" spans="1:17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1</v>
      </c>
      <c r="P36" s="3">
        <f t="shared" si="1"/>
        <v>0</v>
      </c>
      <c r="Q36" s="3">
        <f t="shared" si="2"/>
        <v>0</v>
      </c>
    </row>
    <row r="37" spans="1:17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1</v>
      </c>
      <c r="P37" s="3">
        <f t="shared" si="1"/>
        <v>0</v>
      </c>
      <c r="Q37" s="3">
        <f t="shared" si="2"/>
        <v>0</v>
      </c>
    </row>
    <row r="38" spans="1:17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1</v>
      </c>
      <c r="P38" s="3">
        <f t="shared" si="1"/>
        <v>0</v>
      </c>
      <c r="Q38" s="3">
        <f t="shared" si="2"/>
        <v>0</v>
      </c>
    </row>
    <row r="39" spans="1:17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1</v>
      </c>
      <c r="P39" s="3">
        <f t="shared" si="1"/>
        <v>0</v>
      </c>
      <c r="Q39" s="3">
        <f t="shared" si="2"/>
        <v>0</v>
      </c>
    </row>
    <row r="40" spans="1:17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1</v>
      </c>
      <c r="P40" s="3">
        <f t="shared" si="1"/>
        <v>0</v>
      </c>
      <c r="Q40" s="3">
        <f t="shared" si="2"/>
        <v>0</v>
      </c>
    </row>
    <row r="41" spans="1:17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1</v>
      </c>
      <c r="P41" s="3">
        <f t="shared" si="1"/>
        <v>0</v>
      </c>
      <c r="Q41" s="3">
        <f t="shared" si="2"/>
        <v>0</v>
      </c>
    </row>
    <row r="42" spans="1:17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 s="3">
        <f t="shared" si="1"/>
        <v>0</v>
      </c>
      <c r="Q42" s="3">
        <f t="shared" si="2"/>
        <v>0</v>
      </c>
    </row>
    <row r="43" spans="1:17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 s="3">
        <f t="shared" si="1"/>
        <v>0</v>
      </c>
      <c r="Q43" s="3">
        <f t="shared" si="2"/>
        <v>0</v>
      </c>
    </row>
    <row r="44" spans="1:17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 s="3">
        <f t="shared" si="1"/>
        <v>0</v>
      </c>
      <c r="Q44" s="3">
        <f t="shared" si="2"/>
        <v>0</v>
      </c>
    </row>
    <row r="45" spans="1:17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 s="3">
        <f t="shared" si="1"/>
        <v>0</v>
      </c>
      <c r="Q45" s="3">
        <f t="shared" si="2"/>
        <v>0</v>
      </c>
    </row>
    <row r="46" spans="1:17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 s="3">
        <f t="shared" si="1"/>
        <v>0</v>
      </c>
      <c r="Q46" s="3">
        <f t="shared" si="2"/>
        <v>1</v>
      </c>
    </row>
    <row r="47" spans="1:17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 s="3">
        <f t="shared" si="1"/>
        <v>0</v>
      </c>
      <c r="Q47" s="3">
        <f t="shared" si="2"/>
        <v>1</v>
      </c>
    </row>
    <row r="48" spans="1:17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 s="3">
        <f t="shared" si="1"/>
        <v>0</v>
      </c>
      <c r="Q48" s="3">
        <f t="shared" si="2"/>
        <v>1</v>
      </c>
    </row>
    <row r="49" spans="1:17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 s="3">
        <f t="shared" si="1"/>
        <v>0</v>
      </c>
      <c r="Q49" s="3">
        <f t="shared" si="2"/>
        <v>1</v>
      </c>
    </row>
    <row r="50" spans="1:17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1</v>
      </c>
      <c r="P50" s="3">
        <f t="shared" si="1"/>
        <v>0</v>
      </c>
      <c r="Q50" s="3">
        <f t="shared" si="2"/>
        <v>0</v>
      </c>
    </row>
    <row r="51" spans="1:17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1</v>
      </c>
      <c r="P51" s="3">
        <f t="shared" si="1"/>
        <v>0</v>
      </c>
      <c r="Q51" s="3">
        <f t="shared" si="2"/>
        <v>0</v>
      </c>
    </row>
    <row r="52" spans="1:17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1</v>
      </c>
      <c r="P52" s="3">
        <f t="shared" si="1"/>
        <v>0</v>
      </c>
      <c r="Q52" s="3">
        <f t="shared" si="2"/>
        <v>0</v>
      </c>
    </row>
    <row r="53" spans="1:17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1</v>
      </c>
      <c r="P53" s="3">
        <f t="shared" si="1"/>
        <v>0</v>
      </c>
      <c r="Q53" s="3">
        <f t="shared" si="2"/>
        <v>0</v>
      </c>
    </row>
    <row r="54" spans="1:17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 s="3">
        <f t="shared" si="1"/>
        <v>0</v>
      </c>
      <c r="Q54" s="3">
        <f t="shared" si="2"/>
        <v>1</v>
      </c>
    </row>
    <row r="55" spans="1:17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 s="3">
        <f t="shared" si="1"/>
        <v>0</v>
      </c>
      <c r="Q55" s="3">
        <f t="shared" si="2"/>
        <v>1</v>
      </c>
    </row>
    <row r="56" spans="1:17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 s="3">
        <f t="shared" si="1"/>
        <v>0</v>
      </c>
      <c r="Q56" s="3">
        <f t="shared" si="2"/>
        <v>1</v>
      </c>
    </row>
    <row r="57" spans="1:17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 s="3">
        <f t="shared" si="1"/>
        <v>0</v>
      </c>
      <c r="Q57" s="3">
        <f t="shared" si="2"/>
        <v>1</v>
      </c>
    </row>
    <row r="58" spans="1:17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 s="3">
        <f t="shared" si="1"/>
        <v>0</v>
      </c>
      <c r="Q58" s="3">
        <f t="shared" si="2"/>
        <v>0</v>
      </c>
    </row>
    <row r="59" spans="1:17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 s="3">
        <f t="shared" si="1"/>
        <v>0</v>
      </c>
      <c r="Q59" s="3">
        <f t="shared" si="2"/>
        <v>0</v>
      </c>
    </row>
    <row r="60" spans="1:17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 s="3">
        <f t="shared" si="1"/>
        <v>0</v>
      </c>
      <c r="Q60" s="3">
        <f t="shared" si="2"/>
        <v>0</v>
      </c>
    </row>
    <row r="61" spans="1:17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 s="3">
        <f t="shared" si="1"/>
        <v>0</v>
      </c>
      <c r="Q61" s="3">
        <f t="shared" si="2"/>
        <v>0</v>
      </c>
    </row>
    <row r="62" spans="1:17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 s="3">
        <f t="shared" si="1"/>
        <v>1</v>
      </c>
      <c r="Q62" s="3">
        <f t="shared" si="2"/>
        <v>0</v>
      </c>
    </row>
    <row r="63" spans="1:17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 s="3">
        <f t="shared" si="1"/>
        <v>1</v>
      </c>
      <c r="Q63" s="3">
        <f t="shared" si="2"/>
        <v>0</v>
      </c>
    </row>
    <row r="64" spans="1:17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 s="3">
        <f t="shared" si="1"/>
        <v>1</v>
      </c>
      <c r="Q64" s="3">
        <f t="shared" si="2"/>
        <v>0</v>
      </c>
    </row>
    <row r="65" spans="1:17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 s="3">
        <f t="shared" si="1"/>
        <v>1</v>
      </c>
      <c r="Q65" s="3">
        <f t="shared" si="2"/>
        <v>0</v>
      </c>
    </row>
    <row r="66" spans="1:17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 s="3">
        <f t="shared" si="1"/>
        <v>0</v>
      </c>
      <c r="Q66" s="3">
        <f t="shared" si="2"/>
        <v>1</v>
      </c>
    </row>
    <row r="67" spans="1:17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3">IF(C67="North",1,0)</f>
        <v>0</v>
      </c>
      <c r="P67" s="3">
        <f t="shared" ref="P67:P130" si="4">IF(C67="South",1,0)</f>
        <v>0</v>
      </c>
      <c r="Q67" s="3">
        <f t="shared" ref="Q67:Q130" si="5">IF(C67="West",1,0)</f>
        <v>1</v>
      </c>
    </row>
    <row r="68" spans="1:17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3"/>
        <v>0</v>
      </c>
      <c r="P68" s="3">
        <f t="shared" si="4"/>
        <v>0</v>
      </c>
      <c r="Q68" s="3">
        <f t="shared" si="5"/>
        <v>1</v>
      </c>
    </row>
    <row r="69" spans="1:17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3"/>
        <v>0</v>
      </c>
      <c r="P69" s="3">
        <f t="shared" si="4"/>
        <v>0</v>
      </c>
      <c r="Q69" s="3">
        <f t="shared" si="5"/>
        <v>1</v>
      </c>
    </row>
    <row r="70" spans="1:17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3"/>
        <v>0</v>
      </c>
      <c r="P70" s="3">
        <f t="shared" si="4"/>
        <v>0</v>
      </c>
      <c r="Q70" s="3">
        <f t="shared" si="5"/>
        <v>0</v>
      </c>
    </row>
    <row r="71" spans="1:17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3"/>
        <v>0</v>
      </c>
      <c r="P71" s="3">
        <f t="shared" si="4"/>
        <v>0</v>
      </c>
      <c r="Q71" s="3">
        <f t="shared" si="5"/>
        <v>0</v>
      </c>
    </row>
    <row r="72" spans="1:17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3"/>
        <v>0</v>
      </c>
      <c r="P72" s="3">
        <f t="shared" si="4"/>
        <v>0</v>
      </c>
      <c r="Q72" s="3">
        <f t="shared" si="5"/>
        <v>0</v>
      </c>
    </row>
    <row r="73" spans="1:17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3.36</v>
      </c>
      <c r="K73">
        <v>0</v>
      </c>
      <c r="L73">
        <v>3.5</v>
      </c>
      <c r="M73">
        <v>674774.09</v>
      </c>
      <c r="N73">
        <v>141917.59</v>
      </c>
      <c r="O73">
        <f t="shared" si="3"/>
        <v>0</v>
      </c>
      <c r="P73" s="3">
        <f t="shared" si="4"/>
        <v>0</v>
      </c>
      <c r="Q73" s="3">
        <f t="shared" si="5"/>
        <v>0</v>
      </c>
    </row>
    <row r="74" spans="1:17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3"/>
        <v>0</v>
      </c>
      <c r="P74" s="3">
        <f t="shared" si="4"/>
        <v>0</v>
      </c>
      <c r="Q74" s="3">
        <f t="shared" si="5"/>
        <v>0</v>
      </c>
    </row>
    <row r="75" spans="1:17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3"/>
        <v>0</v>
      </c>
      <c r="P75" s="3">
        <f t="shared" si="4"/>
        <v>0</v>
      </c>
      <c r="Q75" s="3">
        <f t="shared" si="5"/>
        <v>0</v>
      </c>
    </row>
    <row r="76" spans="1:17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3"/>
        <v>0</v>
      </c>
      <c r="P76" s="3">
        <f t="shared" si="4"/>
        <v>0</v>
      </c>
      <c r="Q76" s="3">
        <f t="shared" si="5"/>
        <v>0</v>
      </c>
    </row>
    <row r="77" spans="1:17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3"/>
        <v>0</v>
      </c>
      <c r="P77" s="3">
        <f t="shared" si="4"/>
        <v>0</v>
      </c>
      <c r="Q77" s="3">
        <f t="shared" si="5"/>
        <v>0</v>
      </c>
    </row>
    <row r="78" spans="1:17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3"/>
        <v>0</v>
      </c>
      <c r="P78" s="3">
        <f t="shared" si="4"/>
        <v>1</v>
      </c>
      <c r="Q78" s="3">
        <f t="shared" si="5"/>
        <v>0</v>
      </c>
    </row>
    <row r="79" spans="1:17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3"/>
        <v>0</v>
      </c>
      <c r="P79" s="3">
        <f t="shared" si="4"/>
        <v>1</v>
      </c>
      <c r="Q79" s="3">
        <f t="shared" si="5"/>
        <v>0</v>
      </c>
    </row>
    <row r="80" spans="1:17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3"/>
        <v>0</v>
      </c>
      <c r="P80" s="3">
        <f t="shared" si="4"/>
        <v>1</v>
      </c>
      <c r="Q80" s="3">
        <f t="shared" si="5"/>
        <v>0</v>
      </c>
    </row>
    <row r="81" spans="1:17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3"/>
        <v>0</v>
      </c>
      <c r="P81" s="3">
        <f t="shared" si="4"/>
        <v>1</v>
      </c>
      <c r="Q81" s="3">
        <f t="shared" si="5"/>
        <v>0</v>
      </c>
    </row>
    <row r="82" spans="1:17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3"/>
        <v>0</v>
      </c>
      <c r="P82" s="3">
        <f t="shared" si="4"/>
        <v>0</v>
      </c>
      <c r="Q82" s="3">
        <f t="shared" si="5"/>
        <v>1</v>
      </c>
    </row>
    <row r="83" spans="1:17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3"/>
        <v>0</v>
      </c>
      <c r="P83" s="3">
        <f t="shared" si="4"/>
        <v>0</v>
      </c>
      <c r="Q83" s="3">
        <f t="shared" si="5"/>
        <v>1</v>
      </c>
    </row>
    <row r="84" spans="1:17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3"/>
        <v>0</v>
      </c>
      <c r="P84" s="3">
        <f t="shared" si="4"/>
        <v>0</v>
      </c>
      <c r="Q84" s="3">
        <f t="shared" si="5"/>
        <v>1</v>
      </c>
    </row>
    <row r="85" spans="1:17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3"/>
        <v>0</v>
      </c>
      <c r="P85" s="3">
        <f t="shared" si="4"/>
        <v>0</v>
      </c>
      <c r="Q85" s="3">
        <f t="shared" si="5"/>
        <v>1</v>
      </c>
    </row>
    <row r="86" spans="1:17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3"/>
        <v>0</v>
      </c>
      <c r="P86" s="3">
        <f t="shared" si="4"/>
        <v>0</v>
      </c>
      <c r="Q86" s="3">
        <f t="shared" si="5"/>
        <v>1</v>
      </c>
    </row>
    <row r="87" spans="1:17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  <c r="O87">
        <f t="shared" si="3"/>
        <v>0</v>
      </c>
      <c r="P87" s="3">
        <f t="shared" si="4"/>
        <v>0</v>
      </c>
      <c r="Q87" s="3">
        <f t="shared" si="5"/>
        <v>1</v>
      </c>
    </row>
    <row r="88" spans="1:17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3"/>
        <v>0</v>
      </c>
      <c r="P88" s="3">
        <f t="shared" si="4"/>
        <v>0</v>
      </c>
      <c r="Q88" s="3">
        <f t="shared" si="5"/>
        <v>1</v>
      </c>
    </row>
    <row r="89" spans="1:17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3"/>
        <v>0</v>
      </c>
      <c r="P89" s="3">
        <f t="shared" si="4"/>
        <v>0</v>
      </c>
      <c r="Q89" s="3">
        <f t="shared" si="5"/>
        <v>1</v>
      </c>
    </row>
    <row r="90" spans="1:17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3"/>
        <v>0</v>
      </c>
      <c r="P90" s="3">
        <f t="shared" si="4"/>
        <v>1</v>
      </c>
      <c r="Q90" s="3">
        <f t="shared" si="5"/>
        <v>0</v>
      </c>
    </row>
    <row r="91" spans="1:17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3"/>
        <v>0</v>
      </c>
      <c r="P91" s="3">
        <f t="shared" si="4"/>
        <v>1</v>
      </c>
      <c r="Q91" s="3">
        <f t="shared" si="5"/>
        <v>0</v>
      </c>
    </row>
    <row r="92" spans="1:17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3"/>
        <v>0</v>
      </c>
      <c r="P92" s="3">
        <f t="shared" si="4"/>
        <v>1</v>
      </c>
      <c r="Q92" s="3">
        <f t="shared" si="5"/>
        <v>0</v>
      </c>
    </row>
    <row r="93" spans="1:17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3"/>
        <v>0</v>
      </c>
      <c r="P93" s="3">
        <f t="shared" si="4"/>
        <v>1</v>
      </c>
      <c r="Q93" s="3">
        <f t="shared" si="5"/>
        <v>0</v>
      </c>
    </row>
    <row r="94" spans="1:17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3"/>
        <v>0</v>
      </c>
      <c r="P94" s="3">
        <f t="shared" si="4"/>
        <v>0</v>
      </c>
      <c r="Q94" s="3">
        <f t="shared" si="5"/>
        <v>1</v>
      </c>
    </row>
    <row r="95" spans="1:17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3"/>
        <v>0</v>
      </c>
      <c r="P95" s="3">
        <f t="shared" si="4"/>
        <v>0</v>
      </c>
      <c r="Q95" s="3">
        <f t="shared" si="5"/>
        <v>1</v>
      </c>
    </row>
    <row r="96" spans="1:17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3"/>
        <v>0</v>
      </c>
      <c r="P96" s="3">
        <f t="shared" si="4"/>
        <v>0</v>
      </c>
      <c r="Q96" s="3">
        <f t="shared" si="5"/>
        <v>1</v>
      </c>
    </row>
    <row r="97" spans="1:17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3"/>
        <v>0</v>
      </c>
      <c r="P97" s="3">
        <f t="shared" si="4"/>
        <v>0</v>
      </c>
      <c r="Q97" s="3">
        <f t="shared" si="5"/>
        <v>1</v>
      </c>
    </row>
    <row r="98" spans="1:17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3"/>
        <v>0</v>
      </c>
      <c r="P98" s="3">
        <f t="shared" si="4"/>
        <v>0</v>
      </c>
      <c r="Q98" s="3">
        <f t="shared" si="5"/>
        <v>1</v>
      </c>
    </row>
    <row r="99" spans="1:17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3"/>
        <v>0</v>
      </c>
      <c r="P99" s="3">
        <f t="shared" si="4"/>
        <v>0</v>
      </c>
      <c r="Q99" s="3">
        <f t="shared" si="5"/>
        <v>1</v>
      </c>
    </row>
    <row r="100" spans="1:17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3.36</v>
      </c>
      <c r="K100">
        <v>0</v>
      </c>
      <c r="L100">
        <v>4.3</v>
      </c>
      <c r="M100">
        <v>605775.32999999996</v>
      </c>
      <c r="N100">
        <v>107194.6</v>
      </c>
      <c r="O100">
        <f t="shared" si="3"/>
        <v>0</v>
      </c>
      <c r="P100" s="3">
        <f t="shared" si="4"/>
        <v>0</v>
      </c>
      <c r="Q100" s="3">
        <f t="shared" si="5"/>
        <v>1</v>
      </c>
    </row>
    <row r="101" spans="1:17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3"/>
        <v>0</v>
      </c>
      <c r="P101" s="3">
        <f t="shared" si="4"/>
        <v>0</v>
      </c>
      <c r="Q101" s="3">
        <f t="shared" si="5"/>
        <v>1</v>
      </c>
    </row>
    <row r="102" spans="1:17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3"/>
        <v>0</v>
      </c>
      <c r="P102" s="3">
        <f t="shared" si="4"/>
        <v>0</v>
      </c>
      <c r="Q102" s="3">
        <f t="shared" si="5"/>
        <v>0</v>
      </c>
    </row>
    <row r="103" spans="1:17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3"/>
        <v>0</v>
      </c>
      <c r="P103" s="3">
        <f t="shared" si="4"/>
        <v>0</v>
      </c>
      <c r="Q103" s="3">
        <f t="shared" si="5"/>
        <v>0</v>
      </c>
    </row>
    <row r="104" spans="1:17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3"/>
        <v>0</v>
      </c>
      <c r="P104" s="3">
        <f t="shared" si="4"/>
        <v>0</v>
      </c>
      <c r="Q104" s="3">
        <f t="shared" si="5"/>
        <v>0</v>
      </c>
    </row>
    <row r="105" spans="1:17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3"/>
        <v>0</v>
      </c>
      <c r="P105" s="3">
        <f t="shared" si="4"/>
        <v>0</v>
      </c>
      <c r="Q105" s="3">
        <f t="shared" si="5"/>
        <v>0</v>
      </c>
    </row>
    <row r="106" spans="1:17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3"/>
        <v>0</v>
      </c>
      <c r="P106" s="3">
        <f t="shared" si="4"/>
        <v>0</v>
      </c>
      <c r="Q106" s="3">
        <f t="shared" si="5"/>
        <v>1</v>
      </c>
    </row>
    <row r="107" spans="1:17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3"/>
        <v>0</v>
      </c>
      <c r="P107" s="3">
        <f t="shared" si="4"/>
        <v>0</v>
      </c>
      <c r="Q107" s="3">
        <f t="shared" si="5"/>
        <v>1</v>
      </c>
    </row>
    <row r="108" spans="1:17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3"/>
        <v>0</v>
      </c>
      <c r="P108" s="3">
        <f t="shared" si="4"/>
        <v>0</v>
      </c>
      <c r="Q108" s="3">
        <f t="shared" si="5"/>
        <v>1</v>
      </c>
    </row>
    <row r="109" spans="1:17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3"/>
        <v>0</v>
      </c>
      <c r="P109" s="3">
        <f t="shared" si="4"/>
        <v>0</v>
      </c>
      <c r="Q109" s="3">
        <f t="shared" si="5"/>
        <v>1</v>
      </c>
    </row>
    <row r="110" spans="1:17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3"/>
        <v>0</v>
      </c>
      <c r="P110" s="3">
        <f t="shared" si="4"/>
        <v>0</v>
      </c>
      <c r="Q110" s="3">
        <f t="shared" si="5"/>
        <v>0</v>
      </c>
    </row>
    <row r="111" spans="1:17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3"/>
        <v>0</v>
      </c>
      <c r="P111" s="3">
        <f t="shared" si="4"/>
        <v>0</v>
      </c>
      <c r="Q111" s="3">
        <f t="shared" si="5"/>
        <v>0</v>
      </c>
    </row>
    <row r="112" spans="1:17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3"/>
        <v>0</v>
      </c>
      <c r="P112" s="3">
        <f t="shared" si="4"/>
        <v>0</v>
      </c>
      <c r="Q112" s="3">
        <f t="shared" si="5"/>
        <v>0</v>
      </c>
    </row>
    <row r="113" spans="1:17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3"/>
        <v>0</v>
      </c>
      <c r="P113" s="3">
        <f t="shared" si="4"/>
        <v>0</v>
      </c>
      <c r="Q113" s="3">
        <f t="shared" si="5"/>
        <v>0</v>
      </c>
    </row>
    <row r="114" spans="1:17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3"/>
        <v>0</v>
      </c>
      <c r="P114" s="3">
        <f t="shared" si="4"/>
        <v>0</v>
      </c>
      <c r="Q114" s="3">
        <f t="shared" si="5"/>
        <v>1</v>
      </c>
    </row>
    <row r="115" spans="1:17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3"/>
        <v>0</v>
      </c>
      <c r="P115" s="3">
        <f t="shared" si="4"/>
        <v>0</v>
      </c>
      <c r="Q115" s="3">
        <f t="shared" si="5"/>
        <v>1</v>
      </c>
    </row>
    <row r="116" spans="1:17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3"/>
        <v>0</v>
      </c>
      <c r="P116" s="3">
        <f t="shared" si="4"/>
        <v>0</v>
      </c>
      <c r="Q116" s="3">
        <f t="shared" si="5"/>
        <v>1</v>
      </c>
    </row>
    <row r="117" spans="1:17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3"/>
        <v>0</v>
      </c>
      <c r="P117" s="3">
        <f t="shared" si="4"/>
        <v>0</v>
      </c>
      <c r="Q117" s="3">
        <f t="shared" si="5"/>
        <v>1</v>
      </c>
    </row>
    <row r="118" spans="1:17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3"/>
        <v>0</v>
      </c>
      <c r="P118" s="3">
        <f t="shared" si="4"/>
        <v>0</v>
      </c>
      <c r="Q118" s="3">
        <f t="shared" si="5"/>
        <v>1</v>
      </c>
    </row>
    <row r="119" spans="1:17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3"/>
        <v>0</v>
      </c>
      <c r="P119" s="3">
        <f t="shared" si="4"/>
        <v>0</v>
      </c>
      <c r="Q119" s="3">
        <f t="shared" si="5"/>
        <v>1</v>
      </c>
    </row>
    <row r="120" spans="1:17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3"/>
        <v>0</v>
      </c>
      <c r="P120" s="3">
        <f t="shared" si="4"/>
        <v>0</v>
      </c>
      <c r="Q120" s="3">
        <f t="shared" si="5"/>
        <v>1</v>
      </c>
    </row>
    <row r="121" spans="1:17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3"/>
        <v>0</v>
      </c>
      <c r="P121" s="3">
        <f t="shared" si="4"/>
        <v>0</v>
      </c>
      <c r="Q121" s="3">
        <f t="shared" si="5"/>
        <v>1</v>
      </c>
    </row>
    <row r="122" spans="1:17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3"/>
        <v>1</v>
      </c>
      <c r="P122" s="3">
        <f t="shared" si="4"/>
        <v>0</v>
      </c>
      <c r="Q122" s="3">
        <f t="shared" si="5"/>
        <v>0</v>
      </c>
    </row>
    <row r="123" spans="1:17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3"/>
        <v>1</v>
      </c>
      <c r="P123" s="3">
        <f t="shared" si="4"/>
        <v>0</v>
      </c>
      <c r="Q123" s="3">
        <f t="shared" si="5"/>
        <v>0</v>
      </c>
    </row>
    <row r="124" spans="1:17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3"/>
        <v>1</v>
      </c>
      <c r="P124" s="3">
        <f t="shared" si="4"/>
        <v>0</v>
      </c>
      <c r="Q124" s="3">
        <f t="shared" si="5"/>
        <v>0</v>
      </c>
    </row>
    <row r="125" spans="1:17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3"/>
        <v>1</v>
      </c>
      <c r="P125" s="3">
        <f t="shared" si="4"/>
        <v>0</v>
      </c>
      <c r="Q125" s="3">
        <f t="shared" si="5"/>
        <v>0</v>
      </c>
    </row>
    <row r="126" spans="1:17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3"/>
        <v>0</v>
      </c>
      <c r="P126" s="3">
        <f t="shared" si="4"/>
        <v>1</v>
      </c>
      <c r="Q126" s="3">
        <f t="shared" si="5"/>
        <v>0</v>
      </c>
    </row>
    <row r="127" spans="1:17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3"/>
        <v>0</v>
      </c>
      <c r="P127" s="3">
        <f t="shared" si="4"/>
        <v>1</v>
      </c>
      <c r="Q127" s="3">
        <f t="shared" si="5"/>
        <v>0</v>
      </c>
    </row>
    <row r="128" spans="1:17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3"/>
        <v>0</v>
      </c>
      <c r="P128" s="3">
        <f t="shared" si="4"/>
        <v>1</v>
      </c>
      <c r="Q128" s="3">
        <f t="shared" si="5"/>
        <v>0</v>
      </c>
    </row>
    <row r="129" spans="1:17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3"/>
        <v>0</v>
      </c>
      <c r="P129" s="3">
        <f t="shared" si="4"/>
        <v>1</v>
      </c>
      <c r="Q129" s="3">
        <f t="shared" si="5"/>
        <v>0</v>
      </c>
    </row>
    <row r="130" spans="1:17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3"/>
        <v>0</v>
      </c>
      <c r="P130" s="3">
        <f t="shared" si="4"/>
        <v>0</v>
      </c>
      <c r="Q130" s="3">
        <f t="shared" si="5"/>
        <v>0</v>
      </c>
    </row>
    <row r="131" spans="1:17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6">IF(C131="North",1,0)</f>
        <v>0</v>
      </c>
      <c r="P131" s="3">
        <f t="shared" ref="P131:P194" si="7">IF(C131="South",1,0)</f>
        <v>0</v>
      </c>
      <c r="Q131" s="3">
        <f t="shared" ref="Q131:Q194" si="8">IF(C131="West",1,0)</f>
        <v>0</v>
      </c>
    </row>
    <row r="132" spans="1:17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6"/>
        <v>0</v>
      </c>
      <c r="P132" s="3">
        <f t="shared" si="7"/>
        <v>0</v>
      </c>
      <c r="Q132" s="3">
        <f t="shared" si="8"/>
        <v>0</v>
      </c>
    </row>
    <row r="133" spans="1:17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6"/>
        <v>0</v>
      </c>
      <c r="P133" s="3">
        <f t="shared" si="7"/>
        <v>0</v>
      </c>
      <c r="Q133" s="3">
        <f t="shared" si="8"/>
        <v>0</v>
      </c>
    </row>
    <row r="134" spans="1:17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6"/>
        <v>1</v>
      </c>
      <c r="P134" s="3">
        <f t="shared" si="7"/>
        <v>0</v>
      </c>
      <c r="Q134" s="3">
        <f t="shared" si="8"/>
        <v>0</v>
      </c>
    </row>
    <row r="135" spans="1:17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  <c r="O135">
        <f t="shared" si="6"/>
        <v>1</v>
      </c>
      <c r="P135" s="3">
        <f t="shared" si="7"/>
        <v>0</v>
      </c>
      <c r="Q135" s="3">
        <f t="shared" si="8"/>
        <v>0</v>
      </c>
    </row>
    <row r="136" spans="1:17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6"/>
        <v>1</v>
      </c>
      <c r="P136" s="3">
        <f t="shared" si="7"/>
        <v>0</v>
      </c>
      <c r="Q136" s="3">
        <f t="shared" si="8"/>
        <v>0</v>
      </c>
    </row>
    <row r="137" spans="1:17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6"/>
        <v>1</v>
      </c>
      <c r="P137" s="3">
        <f t="shared" si="7"/>
        <v>0</v>
      </c>
      <c r="Q137" s="3">
        <f t="shared" si="8"/>
        <v>0</v>
      </c>
    </row>
    <row r="138" spans="1:17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>
        <v>633638.03</v>
      </c>
      <c r="N138">
        <v>99402.01</v>
      </c>
      <c r="O138">
        <f t="shared" si="6"/>
        <v>0</v>
      </c>
      <c r="P138" s="3">
        <f t="shared" si="7"/>
        <v>1</v>
      </c>
      <c r="Q138" s="3">
        <f t="shared" si="8"/>
        <v>0</v>
      </c>
    </row>
    <row r="139" spans="1:17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6"/>
        <v>0</v>
      </c>
      <c r="P139" s="3">
        <f t="shared" si="7"/>
        <v>1</v>
      </c>
      <c r="Q139" s="3">
        <f t="shared" si="8"/>
        <v>0</v>
      </c>
    </row>
    <row r="140" spans="1:17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6"/>
        <v>0</v>
      </c>
      <c r="P140" s="3">
        <f t="shared" si="7"/>
        <v>1</v>
      </c>
      <c r="Q140" s="3">
        <f t="shared" si="8"/>
        <v>0</v>
      </c>
    </row>
    <row r="141" spans="1:17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6"/>
        <v>0</v>
      </c>
      <c r="P141" s="3">
        <f t="shared" si="7"/>
        <v>1</v>
      </c>
      <c r="Q141" s="3">
        <f t="shared" si="8"/>
        <v>0</v>
      </c>
    </row>
    <row r="142" spans="1:17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6"/>
        <v>0</v>
      </c>
      <c r="P142" s="3">
        <f t="shared" si="7"/>
        <v>0</v>
      </c>
      <c r="Q142" s="3">
        <f t="shared" si="8"/>
        <v>1</v>
      </c>
    </row>
    <row r="143" spans="1:17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6"/>
        <v>0</v>
      </c>
      <c r="P143" s="3">
        <f t="shared" si="7"/>
        <v>0</v>
      </c>
      <c r="Q143" s="3">
        <f t="shared" si="8"/>
        <v>1</v>
      </c>
    </row>
    <row r="144" spans="1:17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6"/>
        <v>0</v>
      </c>
      <c r="P144" s="3">
        <f t="shared" si="7"/>
        <v>0</v>
      </c>
      <c r="Q144" s="3">
        <f t="shared" si="8"/>
        <v>1</v>
      </c>
    </row>
    <row r="145" spans="1:17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6"/>
        <v>0</v>
      </c>
      <c r="P145" s="3">
        <f t="shared" si="7"/>
        <v>0</v>
      </c>
      <c r="Q145" s="3">
        <f t="shared" si="8"/>
        <v>1</v>
      </c>
    </row>
    <row r="146" spans="1:17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6"/>
        <v>1</v>
      </c>
      <c r="P146" s="3">
        <f t="shared" si="7"/>
        <v>0</v>
      </c>
      <c r="Q146" s="3">
        <f t="shared" si="8"/>
        <v>0</v>
      </c>
    </row>
    <row r="147" spans="1:17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6"/>
        <v>1</v>
      </c>
      <c r="P147" s="3">
        <f t="shared" si="7"/>
        <v>0</v>
      </c>
      <c r="Q147" s="3">
        <f t="shared" si="8"/>
        <v>0</v>
      </c>
    </row>
    <row r="148" spans="1:17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6"/>
        <v>1</v>
      </c>
      <c r="P148" s="3">
        <f t="shared" si="7"/>
        <v>0</v>
      </c>
      <c r="Q148" s="3">
        <f t="shared" si="8"/>
        <v>0</v>
      </c>
    </row>
    <row r="149" spans="1:17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6"/>
        <v>1</v>
      </c>
      <c r="P149" s="3">
        <f t="shared" si="7"/>
        <v>0</v>
      </c>
      <c r="Q149" s="3">
        <f t="shared" si="8"/>
        <v>0</v>
      </c>
    </row>
    <row r="150" spans="1:17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6"/>
        <v>0</v>
      </c>
      <c r="P150" s="3">
        <f t="shared" si="7"/>
        <v>1</v>
      </c>
      <c r="Q150" s="3">
        <f t="shared" si="8"/>
        <v>0</v>
      </c>
    </row>
    <row r="151" spans="1:17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6"/>
        <v>0</v>
      </c>
      <c r="P151" s="3">
        <f t="shared" si="7"/>
        <v>1</v>
      </c>
      <c r="Q151" s="3">
        <f t="shared" si="8"/>
        <v>0</v>
      </c>
    </row>
    <row r="152" spans="1:17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6"/>
        <v>0</v>
      </c>
      <c r="P152" s="3">
        <f t="shared" si="7"/>
        <v>1</v>
      </c>
      <c r="Q152" s="3">
        <f t="shared" si="8"/>
        <v>0</v>
      </c>
    </row>
    <row r="153" spans="1:17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6"/>
        <v>0</v>
      </c>
      <c r="P153" s="3">
        <f t="shared" si="7"/>
        <v>1</v>
      </c>
      <c r="Q153" s="3">
        <f t="shared" si="8"/>
        <v>0</v>
      </c>
    </row>
    <row r="154" spans="1:17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6"/>
        <v>0</v>
      </c>
      <c r="P154" s="3">
        <f t="shared" si="7"/>
        <v>0</v>
      </c>
      <c r="Q154" s="3">
        <f t="shared" si="8"/>
        <v>0</v>
      </c>
    </row>
    <row r="155" spans="1:17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6"/>
        <v>0</v>
      </c>
      <c r="P155" s="3">
        <f t="shared" si="7"/>
        <v>0</v>
      </c>
      <c r="Q155" s="3">
        <f t="shared" si="8"/>
        <v>0</v>
      </c>
    </row>
    <row r="156" spans="1:17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6"/>
        <v>0</v>
      </c>
      <c r="P156" s="3">
        <f t="shared" si="7"/>
        <v>0</v>
      </c>
      <c r="Q156" s="3">
        <f t="shared" si="8"/>
        <v>0</v>
      </c>
    </row>
    <row r="157" spans="1:17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6"/>
        <v>0</v>
      </c>
      <c r="P157" s="3">
        <f t="shared" si="7"/>
        <v>0</v>
      </c>
      <c r="Q157" s="3">
        <f t="shared" si="8"/>
        <v>0</v>
      </c>
    </row>
    <row r="158" spans="1:17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6"/>
        <v>1</v>
      </c>
      <c r="P158" s="3">
        <f t="shared" si="7"/>
        <v>0</v>
      </c>
      <c r="Q158" s="3">
        <f t="shared" si="8"/>
        <v>0</v>
      </c>
    </row>
    <row r="159" spans="1:17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6"/>
        <v>1</v>
      </c>
      <c r="P159" s="3">
        <f t="shared" si="7"/>
        <v>0</v>
      </c>
      <c r="Q159" s="3">
        <f t="shared" si="8"/>
        <v>0</v>
      </c>
    </row>
    <row r="160" spans="1:17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6"/>
        <v>1</v>
      </c>
      <c r="P160" s="3">
        <f t="shared" si="7"/>
        <v>0</v>
      </c>
      <c r="Q160" s="3">
        <f t="shared" si="8"/>
        <v>0</v>
      </c>
    </row>
    <row r="161" spans="1:17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6"/>
        <v>1</v>
      </c>
      <c r="P161" s="3">
        <f t="shared" si="7"/>
        <v>0</v>
      </c>
      <c r="Q161" s="3">
        <f t="shared" si="8"/>
        <v>0</v>
      </c>
    </row>
    <row r="162" spans="1:17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6"/>
        <v>0</v>
      </c>
      <c r="P162" s="3">
        <f t="shared" si="7"/>
        <v>1</v>
      </c>
      <c r="Q162" s="3">
        <f t="shared" si="8"/>
        <v>0</v>
      </c>
    </row>
    <row r="163" spans="1:17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6"/>
        <v>0</v>
      </c>
      <c r="P163" s="3">
        <f t="shared" si="7"/>
        <v>1</v>
      </c>
      <c r="Q163" s="3">
        <f t="shared" si="8"/>
        <v>0</v>
      </c>
    </row>
    <row r="164" spans="1:17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3.36</v>
      </c>
      <c r="K164">
        <v>0</v>
      </c>
      <c r="L164">
        <v>4.2</v>
      </c>
      <c r="M164">
        <v>677096.71</v>
      </c>
      <c r="N164">
        <v>97174.11</v>
      </c>
      <c r="O164">
        <f t="shared" si="6"/>
        <v>0</v>
      </c>
      <c r="P164" s="3">
        <f t="shared" si="7"/>
        <v>1</v>
      </c>
      <c r="Q164" s="3">
        <f t="shared" si="8"/>
        <v>0</v>
      </c>
    </row>
    <row r="165" spans="1:17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6"/>
        <v>0</v>
      </c>
      <c r="P165" s="3">
        <f t="shared" si="7"/>
        <v>1</v>
      </c>
      <c r="Q165" s="3">
        <f t="shared" si="8"/>
        <v>0</v>
      </c>
    </row>
    <row r="166" spans="1:17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6"/>
        <v>1</v>
      </c>
      <c r="P166" s="3">
        <f t="shared" si="7"/>
        <v>0</v>
      </c>
      <c r="Q166" s="3">
        <f t="shared" si="8"/>
        <v>0</v>
      </c>
    </row>
    <row r="167" spans="1:17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6"/>
        <v>1</v>
      </c>
      <c r="P167" s="3">
        <f t="shared" si="7"/>
        <v>0</v>
      </c>
      <c r="Q167" s="3">
        <f t="shared" si="8"/>
        <v>0</v>
      </c>
    </row>
    <row r="168" spans="1:17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6"/>
        <v>1</v>
      </c>
      <c r="P168" s="3">
        <f t="shared" si="7"/>
        <v>0</v>
      </c>
      <c r="Q168" s="3">
        <f t="shared" si="8"/>
        <v>0</v>
      </c>
    </row>
    <row r="169" spans="1:17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6"/>
        <v>1</v>
      </c>
      <c r="P169" s="3">
        <f t="shared" si="7"/>
        <v>0</v>
      </c>
      <c r="Q169" s="3">
        <f t="shared" si="8"/>
        <v>0</v>
      </c>
    </row>
    <row r="170" spans="1:17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6"/>
        <v>0</v>
      </c>
      <c r="P170" s="3">
        <f t="shared" si="7"/>
        <v>0</v>
      </c>
      <c r="Q170" s="3">
        <f t="shared" si="8"/>
        <v>0</v>
      </c>
    </row>
    <row r="171" spans="1:17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6"/>
        <v>0</v>
      </c>
      <c r="P171" s="3">
        <f t="shared" si="7"/>
        <v>0</v>
      </c>
      <c r="Q171" s="3">
        <f t="shared" si="8"/>
        <v>0</v>
      </c>
    </row>
    <row r="172" spans="1:17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6"/>
        <v>0</v>
      </c>
      <c r="P172" s="3">
        <f t="shared" si="7"/>
        <v>0</v>
      </c>
      <c r="Q172" s="3">
        <f t="shared" si="8"/>
        <v>0</v>
      </c>
    </row>
    <row r="173" spans="1:17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6"/>
        <v>0</v>
      </c>
      <c r="P173" s="3">
        <f t="shared" si="7"/>
        <v>0</v>
      </c>
      <c r="Q173" s="3">
        <f t="shared" si="8"/>
        <v>0</v>
      </c>
    </row>
    <row r="174" spans="1:17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6"/>
        <v>0</v>
      </c>
      <c r="P174" s="3">
        <f t="shared" si="7"/>
        <v>0</v>
      </c>
      <c r="Q174" s="3">
        <f t="shared" si="8"/>
        <v>0</v>
      </c>
    </row>
    <row r="175" spans="1:17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6"/>
        <v>0</v>
      </c>
      <c r="P175" s="3">
        <f t="shared" si="7"/>
        <v>0</v>
      </c>
      <c r="Q175" s="3">
        <f t="shared" si="8"/>
        <v>0</v>
      </c>
    </row>
    <row r="176" spans="1:17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6"/>
        <v>0</v>
      </c>
      <c r="P176" s="3">
        <f t="shared" si="7"/>
        <v>0</v>
      </c>
      <c r="Q176" s="3">
        <f t="shared" si="8"/>
        <v>0</v>
      </c>
    </row>
    <row r="177" spans="1:17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6"/>
        <v>0</v>
      </c>
      <c r="P177" s="3">
        <f t="shared" si="7"/>
        <v>0</v>
      </c>
      <c r="Q177" s="3">
        <f t="shared" si="8"/>
        <v>0</v>
      </c>
    </row>
    <row r="178" spans="1:17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6"/>
        <v>0</v>
      </c>
      <c r="P178" s="3">
        <f t="shared" si="7"/>
        <v>0</v>
      </c>
      <c r="Q178" s="3">
        <f t="shared" si="8"/>
        <v>1</v>
      </c>
    </row>
    <row r="179" spans="1:17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6"/>
        <v>0</v>
      </c>
      <c r="P179" s="3">
        <f t="shared" si="7"/>
        <v>0</v>
      </c>
      <c r="Q179" s="3">
        <f t="shared" si="8"/>
        <v>1</v>
      </c>
    </row>
    <row r="180" spans="1:17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6"/>
        <v>0</v>
      </c>
      <c r="P180" s="3">
        <f t="shared" si="7"/>
        <v>0</v>
      </c>
      <c r="Q180" s="3">
        <f t="shared" si="8"/>
        <v>1</v>
      </c>
    </row>
    <row r="181" spans="1:17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6"/>
        <v>0</v>
      </c>
      <c r="P181" s="3">
        <f t="shared" si="7"/>
        <v>0</v>
      </c>
      <c r="Q181" s="3">
        <f t="shared" si="8"/>
        <v>1</v>
      </c>
    </row>
    <row r="182" spans="1:17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6"/>
        <v>0</v>
      </c>
      <c r="P182" s="3">
        <f t="shared" si="7"/>
        <v>0</v>
      </c>
      <c r="Q182" s="3">
        <f t="shared" si="8"/>
        <v>1</v>
      </c>
    </row>
    <row r="183" spans="1:17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6"/>
        <v>0</v>
      </c>
      <c r="P183" s="3">
        <f t="shared" si="7"/>
        <v>0</v>
      </c>
      <c r="Q183" s="3">
        <f t="shared" si="8"/>
        <v>1</v>
      </c>
    </row>
    <row r="184" spans="1:17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6"/>
        <v>0</v>
      </c>
      <c r="P184" s="3">
        <f t="shared" si="7"/>
        <v>0</v>
      </c>
      <c r="Q184" s="3">
        <f t="shared" si="8"/>
        <v>1</v>
      </c>
    </row>
    <row r="185" spans="1:17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6"/>
        <v>0</v>
      </c>
      <c r="P185" s="3">
        <f t="shared" si="7"/>
        <v>0</v>
      </c>
      <c r="Q185" s="3">
        <f t="shared" si="8"/>
        <v>1</v>
      </c>
    </row>
    <row r="186" spans="1:17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6"/>
        <v>1</v>
      </c>
      <c r="P186" s="3">
        <f t="shared" si="7"/>
        <v>0</v>
      </c>
      <c r="Q186" s="3">
        <f t="shared" si="8"/>
        <v>0</v>
      </c>
    </row>
    <row r="187" spans="1:17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6"/>
        <v>1</v>
      </c>
      <c r="P187" s="3">
        <f t="shared" si="7"/>
        <v>0</v>
      </c>
      <c r="Q187" s="3">
        <f t="shared" si="8"/>
        <v>0</v>
      </c>
    </row>
    <row r="188" spans="1:17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6"/>
        <v>1</v>
      </c>
      <c r="P188" s="3">
        <f t="shared" si="7"/>
        <v>0</v>
      </c>
      <c r="Q188" s="3">
        <f t="shared" si="8"/>
        <v>0</v>
      </c>
    </row>
    <row r="189" spans="1:17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6"/>
        <v>1</v>
      </c>
      <c r="P189" s="3">
        <f t="shared" si="7"/>
        <v>0</v>
      </c>
      <c r="Q189" s="3">
        <f t="shared" si="8"/>
        <v>0</v>
      </c>
    </row>
    <row r="190" spans="1:17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6"/>
        <v>0</v>
      </c>
      <c r="P190" s="3">
        <f t="shared" si="7"/>
        <v>0</v>
      </c>
      <c r="Q190" s="3">
        <f t="shared" si="8"/>
        <v>0</v>
      </c>
    </row>
    <row r="191" spans="1:17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6"/>
        <v>0</v>
      </c>
      <c r="P191" s="3">
        <f t="shared" si="7"/>
        <v>0</v>
      </c>
      <c r="Q191" s="3">
        <f t="shared" si="8"/>
        <v>0</v>
      </c>
    </row>
    <row r="192" spans="1:17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6"/>
        <v>0</v>
      </c>
      <c r="P192" s="3">
        <f t="shared" si="7"/>
        <v>0</v>
      </c>
      <c r="Q192" s="3">
        <f t="shared" si="8"/>
        <v>0</v>
      </c>
    </row>
    <row r="193" spans="1:17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6"/>
        <v>0</v>
      </c>
      <c r="P193" s="3">
        <f t="shared" si="7"/>
        <v>0</v>
      </c>
      <c r="Q193" s="3">
        <f t="shared" si="8"/>
        <v>0</v>
      </c>
    </row>
    <row r="194" spans="1:17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6"/>
        <v>0</v>
      </c>
      <c r="P194" s="3">
        <f t="shared" si="7"/>
        <v>0</v>
      </c>
      <c r="Q194" s="3">
        <f t="shared" si="8"/>
        <v>1</v>
      </c>
    </row>
    <row r="195" spans="1:17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9">IF(C195="North",1,0)</f>
        <v>0</v>
      </c>
      <c r="P195" s="3">
        <f t="shared" ref="P195:P258" si="10">IF(C195="South",1,0)</f>
        <v>0</v>
      </c>
      <c r="Q195" s="3">
        <f t="shared" ref="Q195:Q258" si="11">IF(C195="West",1,0)</f>
        <v>1</v>
      </c>
    </row>
    <row r="196" spans="1:17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9"/>
        <v>0</v>
      </c>
      <c r="P196" s="3">
        <f t="shared" si="10"/>
        <v>0</v>
      </c>
      <c r="Q196" s="3">
        <f t="shared" si="11"/>
        <v>1</v>
      </c>
    </row>
    <row r="197" spans="1:17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>
        <v>449465.06</v>
      </c>
      <c r="N197">
        <v>65694.78</v>
      </c>
      <c r="O197">
        <f t="shared" si="9"/>
        <v>0</v>
      </c>
      <c r="P197" s="3">
        <f t="shared" si="10"/>
        <v>0</v>
      </c>
      <c r="Q197" s="3">
        <f t="shared" si="11"/>
        <v>1</v>
      </c>
    </row>
    <row r="198" spans="1:17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9"/>
        <v>1</v>
      </c>
      <c r="P198" s="3">
        <f t="shared" si="10"/>
        <v>0</v>
      </c>
      <c r="Q198" s="3">
        <f t="shared" si="11"/>
        <v>0</v>
      </c>
    </row>
    <row r="199" spans="1:17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9"/>
        <v>1</v>
      </c>
      <c r="P199" s="3">
        <f t="shared" si="10"/>
        <v>0</v>
      </c>
      <c r="Q199" s="3">
        <f t="shared" si="11"/>
        <v>0</v>
      </c>
    </row>
    <row r="200" spans="1:17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9"/>
        <v>1</v>
      </c>
      <c r="P200" s="3">
        <f t="shared" si="10"/>
        <v>0</v>
      </c>
      <c r="Q200" s="3">
        <f t="shared" si="11"/>
        <v>0</v>
      </c>
    </row>
    <row r="201" spans="1:17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9"/>
        <v>1</v>
      </c>
      <c r="P201" s="3">
        <f t="shared" si="10"/>
        <v>0</v>
      </c>
      <c r="Q201" s="3">
        <f t="shared" si="11"/>
        <v>0</v>
      </c>
    </row>
    <row r="202" spans="1:17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9"/>
        <v>0</v>
      </c>
      <c r="P202" s="3">
        <f t="shared" si="10"/>
        <v>0</v>
      </c>
      <c r="Q202" s="3">
        <f t="shared" si="11"/>
        <v>0</v>
      </c>
    </row>
    <row r="203" spans="1:17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9"/>
        <v>0</v>
      </c>
      <c r="P203" s="3">
        <f t="shared" si="10"/>
        <v>0</v>
      </c>
      <c r="Q203" s="3">
        <f t="shared" si="11"/>
        <v>0</v>
      </c>
    </row>
    <row r="204" spans="1:17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9"/>
        <v>0</v>
      </c>
      <c r="P204" s="3">
        <f t="shared" si="10"/>
        <v>0</v>
      </c>
      <c r="Q204" s="3">
        <f t="shared" si="11"/>
        <v>0</v>
      </c>
    </row>
    <row r="205" spans="1:17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9"/>
        <v>0</v>
      </c>
      <c r="P205" s="3">
        <f t="shared" si="10"/>
        <v>0</v>
      </c>
      <c r="Q205" s="3">
        <f t="shared" si="11"/>
        <v>0</v>
      </c>
    </row>
    <row r="206" spans="1:17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9"/>
        <v>0</v>
      </c>
      <c r="P206" s="3">
        <f t="shared" si="10"/>
        <v>0</v>
      </c>
      <c r="Q206" s="3">
        <f t="shared" si="11"/>
        <v>0</v>
      </c>
    </row>
    <row r="207" spans="1:17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9"/>
        <v>0</v>
      </c>
      <c r="P207" s="3">
        <f t="shared" si="10"/>
        <v>0</v>
      </c>
      <c r="Q207" s="3">
        <f t="shared" si="11"/>
        <v>0</v>
      </c>
    </row>
    <row r="208" spans="1:17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9"/>
        <v>0</v>
      </c>
      <c r="P208" s="3">
        <f t="shared" si="10"/>
        <v>0</v>
      </c>
      <c r="Q208" s="3">
        <f t="shared" si="11"/>
        <v>0</v>
      </c>
    </row>
    <row r="209" spans="1:17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9"/>
        <v>0</v>
      </c>
      <c r="P209" s="3">
        <f t="shared" si="10"/>
        <v>0</v>
      </c>
      <c r="Q209" s="3">
        <f t="shared" si="11"/>
        <v>0</v>
      </c>
    </row>
    <row r="210" spans="1:17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9"/>
        <v>0</v>
      </c>
      <c r="P210" s="3">
        <f t="shared" si="10"/>
        <v>0</v>
      </c>
      <c r="Q210" s="3">
        <f t="shared" si="11"/>
        <v>0</v>
      </c>
    </row>
    <row r="211" spans="1:17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9"/>
        <v>0</v>
      </c>
      <c r="P211" s="3">
        <f t="shared" si="10"/>
        <v>0</v>
      </c>
      <c r="Q211" s="3">
        <f t="shared" si="11"/>
        <v>0</v>
      </c>
    </row>
    <row r="212" spans="1:17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9"/>
        <v>0</v>
      </c>
      <c r="P212" s="3">
        <f t="shared" si="10"/>
        <v>0</v>
      </c>
      <c r="Q212" s="3">
        <f t="shared" si="11"/>
        <v>0</v>
      </c>
    </row>
    <row r="213" spans="1:17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9"/>
        <v>0</v>
      </c>
      <c r="P213" s="3">
        <f t="shared" si="10"/>
        <v>0</v>
      </c>
      <c r="Q213" s="3">
        <f t="shared" si="11"/>
        <v>0</v>
      </c>
    </row>
    <row r="214" spans="1:17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9"/>
        <v>0</v>
      </c>
      <c r="P214" s="3">
        <f t="shared" si="10"/>
        <v>0</v>
      </c>
      <c r="Q214" s="3">
        <f t="shared" si="11"/>
        <v>1</v>
      </c>
    </row>
    <row r="215" spans="1:17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9"/>
        <v>0</v>
      </c>
      <c r="P215" s="3">
        <f t="shared" si="10"/>
        <v>0</v>
      </c>
      <c r="Q215" s="3">
        <f t="shared" si="11"/>
        <v>1</v>
      </c>
    </row>
    <row r="216" spans="1:17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9"/>
        <v>0</v>
      </c>
      <c r="P216" s="3">
        <f t="shared" si="10"/>
        <v>0</v>
      </c>
      <c r="Q216" s="3">
        <f t="shared" si="11"/>
        <v>1</v>
      </c>
    </row>
    <row r="217" spans="1:17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9"/>
        <v>0</v>
      </c>
      <c r="P217" s="3">
        <f t="shared" si="10"/>
        <v>0</v>
      </c>
      <c r="Q217" s="3">
        <f t="shared" si="11"/>
        <v>1</v>
      </c>
    </row>
    <row r="218" spans="1:17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9"/>
        <v>1</v>
      </c>
      <c r="P218" s="3">
        <f t="shared" si="10"/>
        <v>0</v>
      </c>
      <c r="Q218" s="3">
        <f t="shared" si="11"/>
        <v>0</v>
      </c>
    </row>
    <row r="219" spans="1:17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9"/>
        <v>1</v>
      </c>
      <c r="P219" s="3">
        <f t="shared" si="10"/>
        <v>0</v>
      </c>
      <c r="Q219" s="3">
        <f t="shared" si="11"/>
        <v>0</v>
      </c>
    </row>
    <row r="220" spans="1:17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9"/>
        <v>1</v>
      </c>
      <c r="P220" s="3">
        <f t="shared" si="10"/>
        <v>0</v>
      </c>
      <c r="Q220" s="3">
        <f t="shared" si="11"/>
        <v>0</v>
      </c>
    </row>
    <row r="221" spans="1:17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9"/>
        <v>1</v>
      </c>
      <c r="P221" s="3">
        <f t="shared" si="10"/>
        <v>0</v>
      </c>
      <c r="Q221" s="3">
        <f t="shared" si="11"/>
        <v>0</v>
      </c>
    </row>
    <row r="222" spans="1:17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9"/>
        <v>0</v>
      </c>
      <c r="P222" s="3">
        <f t="shared" si="10"/>
        <v>0</v>
      </c>
      <c r="Q222" s="3">
        <f t="shared" si="11"/>
        <v>0</v>
      </c>
    </row>
    <row r="223" spans="1:17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9"/>
        <v>0</v>
      </c>
      <c r="P223" s="3">
        <f t="shared" si="10"/>
        <v>0</v>
      </c>
      <c r="Q223" s="3">
        <f t="shared" si="11"/>
        <v>0</v>
      </c>
    </row>
    <row r="224" spans="1:17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9"/>
        <v>0</v>
      </c>
      <c r="P224" s="3">
        <f t="shared" si="10"/>
        <v>0</v>
      </c>
      <c r="Q224" s="3">
        <f t="shared" si="11"/>
        <v>0</v>
      </c>
    </row>
    <row r="225" spans="1:17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9"/>
        <v>0</v>
      </c>
      <c r="P225" s="3">
        <f t="shared" si="10"/>
        <v>0</v>
      </c>
      <c r="Q225" s="3">
        <f t="shared" si="11"/>
        <v>0</v>
      </c>
    </row>
    <row r="226" spans="1:17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9"/>
        <v>0</v>
      </c>
      <c r="P226" s="3">
        <f t="shared" si="10"/>
        <v>0</v>
      </c>
      <c r="Q226" s="3">
        <f t="shared" si="11"/>
        <v>0</v>
      </c>
    </row>
    <row r="227" spans="1:17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9"/>
        <v>0</v>
      </c>
      <c r="P227" s="3">
        <f t="shared" si="10"/>
        <v>0</v>
      </c>
      <c r="Q227" s="3">
        <f t="shared" si="11"/>
        <v>0</v>
      </c>
    </row>
    <row r="228" spans="1:17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9"/>
        <v>0</v>
      </c>
      <c r="P228" s="3">
        <f t="shared" si="10"/>
        <v>0</v>
      </c>
      <c r="Q228" s="3">
        <f t="shared" si="11"/>
        <v>0</v>
      </c>
    </row>
    <row r="229" spans="1:17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>
        <v>529598.93999999994</v>
      </c>
      <c r="N229">
        <v>84334.33</v>
      </c>
      <c r="O229">
        <f t="shared" si="9"/>
        <v>0</v>
      </c>
      <c r="P229" s="3">
        <f t="shared" si="10"/>
        <v>0</v>
      </c>
      <c r="Q229" s="3">
        <f t="shared" si="11"/>
        <v>0</v>
      </c>
    </row>
    <row r="230" spans="1:17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9"/>
        <v>0</v>
      </c>
      <c r="P230" s="3">
        <f t="shared" si="10"/>
        <v>0</v>
      </c>
      <c r="Q230" s="3">
        <f t="shared" si="11"/>
        <v>0</v>
      </c>
    </row>
    <row r="231" spans="1:17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9"/>
        <v>0</v>
      </c>
      <c r="P231" s="3">
        <f t="shared" si="10"/>
        <v>0</v>
      </c>
      <c r="Q231" s="3">
        <f t="shared" si="11"/>
        <v>0</v>
      </c>
    </row>
    <row r="232" spans="1:17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9"/>
        <v>0</v>
      </c>
      <c r="P232" s="3">
        <f t="shared" si="10"/>
        <v>0</v>
      </c>
      <c r="Q232" s="3">
        <f t="shared" si="11"/>
        <v>0</v>
      </c>
    </row>
    <row r="233" spans="1:17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3.36</v>
      </c>
      <c r="K233">
        <v>0</v>
      </c>
      <c r="L233">
        <v>3.7</v>
      </c>
      <c r="M233">
        <v>647512.85</v>
      </c>
      <c r="N233">
        <v>153835.57</v>
      </c>
      <c r="O233">
        <f t="shared" si="9"/>
        <v>0</v>
      </c>
      <c r="P233" s="3">
        <f t="shared" si="10"/>
        <v>0</v>
      </c>
      <c r="Q233" s="3">
        <f t="shared" si="11"/>
        <v>0</v>
      </c>
    </row>
    <row r="234" spans="1:17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9"/>
        <v>0</v>
      </c>
      <c r="P234" s="3">
        <f t="shared" si="10"/>
        <v>0</v>
      </c>
      <c r="Q234" s="3">
        <f t="shared" si="11"/>
        <v>1</v>
      </c>
    </row>
    <row r="235" spans="1:17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9"/>
        <v>0</v>
      </c>
      <c r="P235" s="3">
        <f t="shared" si="10"/>
        <v>0</v>
      </c>
      <c r="Q235" s="3">
        <f t="shared" si="11"/>
        <v>1</v>
      </c>
    </row>
    <row r="236" spans="1:17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9"/>
        <v>0</v>
      </c>
      <c r="P236" s="3">
        <f t="shared" si="10"/>
        <v>0</v>
      </c>
      <c r="Q236" s="3">
        <f t="shared" si="11"/>
        <v>1</v>
      </c>
    </row>
    <row r="237" spans="1:17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9"/>
        <v>0</v>
      </c>
      <c r="P237" s="3">
        <f t="shared" si="10"/>
        <v>0</v>
      </c>
      <c r="Q237" s="3">
        <f t="shared" si="11"/>
        <v>1</v>
      </c>
    </row>
    <row r="238" spans="1:17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9"/>
        <v>0</v>
      </c>
      <c r="P238" s="3">
        <f t="shared" si="10"/>
        <v>0</v>
      </c>
      <c r="Q238" s="3">
        <f t="shared" si="11"/>
        <v>1</v>
      </c>
    </row>
    <row r="239" spans="1:17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9"/>
        <v>0</v>
      </c>
      <c r="P239" s="3">
        <f t="shared" si="10"/>
        <v>0</v>
      </c>
      <c r="Q239" s="3">
        <f t="shared" si="11"/>
        <v>1</v>
      </c>
    </row>
    <row r="240" spans="1:17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9"/>
        <v>0</v>
      </c>
      <c r="P240" s="3">
        <f t="shared" si="10"/>
        <v>0</v>
      </c>
      <c r="Q240" s="3">
        <f t="shared" si="11"/>
        <v>1</v>
      </c>
    </row>
    <row r="241" spans="1:17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9"/>
        <v>0</v>
      </c>
      <c r="P241" s="3">
        <f t="shared" si="10"/>
        <v>0</v>
      </c>
      <c r="Q241" s="3">
        <f t="shared" si="11"/>
        <v>1</v>
      </c>
    </row>
    <row r="242" spans="1:17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9"/>
        <v>0</v>
      </c>
      <c r="P242" s="3">
        <f t="shared" si="10"/>
        <v>1</v>
      </c>
      <c r="Q242" s="3">
        <f t="shared" si="11"/>
        <v>0</v>
      </c>
    </row>
    <row r="243" spans="1:17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9"/>
        <v>0</v>
      </c>
      <c r="P243" s="3">
        <f t="shared" si="10"/>
        <v>1</v>
      </c>
      <c r="Q243" s="3">
        <f t="shared" si="11"/>
        <v>0</v>
      </c>
    </row>
    <row r="244" spans="1:17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9"/>
        <v>0</v>
      </c>
      <c r="P244" s="3">
        <f t="shared" si="10"/>
        <v>1</v>
      </c>
      <c r="Q244" s="3">
        <f t="shared" si="11"/>
        <v>0</v>
      </c>
    </row>
    <row r="245" spans="1:17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9"/>
        <v>0</v>
      </c>
      <c r="P245" s="3">
        <f t="shared" si="10"/>
        <v>1</v>
      </c>
      <c r="Q245" s="3">
        <f t="shared" si="11"/>
        <v>0</v>
      </c>
    </row>
    <row r="246" spans="1:17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9"/>
        <v>0</v>
      </c>
      <c r="P246" s="3">
        <f t="shared" si="10"/>
        <v>0</v>
      </c>
      <c r="Q246" s="3">
        <f t="shared" si="11"/>
        <v>0</v>
      </c>
    </row>
    <row r="247" spans="1:17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9"/>
        <v>0</v>
      </c>
      <c r="P247" s="3">
        <f t="shared" si="10"/>
        <v>0</v>
      </c>
      <c r="Q247" s="3">
        <f t="shared" si="11"/>
        <v>0</v>
      </c>
    </row>
    <row r="248" spans="1:17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9"/>
        <v>0</v>
      </c>
      <c r="P248" s="3">
        <f t="shared" si="10"/>
        <v>0</v>
      </c>
      <c r="Q248" s="3">
        <f t="shared" si="11"/>
        <v>0</v>
      </c>
    </row>
    <row r="249" spans="1:17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9"/>
        <v>0</v>
      </c>
      <c r="P249" s="3">
        <f t="shared" si="10"/>
        <v>0</v>
      </c>
      <c r="Q249" s="3">
        <f t="shared" si="11"/>
        <v>0</v>
      </c>
    </row>
    <row r="250" spans="1:17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3.36</v>
      </c>
      <c r="K250">
        <v>0</v>
      </c>
      <c r="L250">
        <v>3.8</v>
      </c>
      <c r="M250">
        <v>606783.67000000004</v>
      </c>
      <c r="N250">
        <v>74515.87</v>
      </c>
      <c r="O250">
        <f t="shared" si="9"/>
        <v>1</v>
      </c>
      <c r="P250" s="3">
        <f t="shared" si="10"/>
        <v>0</v>
      </c>
      <c r="Q250" s="3">
        <f t="shared" si="11"/>
        <v>0</v>
      </c>
    </row>
    <row r="251" spans="1:17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9"/>
        <v>1</v>
      </c>
      <c r="P251" s="3">
        <f t="shared" si="10"/>
        <v>0</v>
      </c>
      <c r="Q251" s="3">
        <f t="shared" si="11"/>
        <v>0</v>
      </c>
    </row>
    <row r="252" spans="1:17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9"/>
        <v>1</v>
      </c>
      <c r="P252" s="3">
        <f t="shared" si="10"/>
        <v>0</v>
      </c>
      <c r="Q252" s="3">
        <f t="shared" si="11"/>
        <v>0</v>
      </c>
    </row>
    <row r="253" spans="1:17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9"/>
        <v>1</v>
      </c>
      <c r="P253" s="3">
        <f t="shared" si="10"/>
        <v>0</v>
      </c>
      <c r="Q253" s="3">
        <f t="shared" si="11"/>
        <v>0</v>
      </c>
    </row>
    <row r="254" spans="1:17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9"/>
        <v>0</v>
      </c>
      <c r="P254" s="3">
        <f t="shared" si="10"/>
        <v>1</v>
      </c>
      <c r="Q254" s="3">
        <f t="shared" si="11"/>
        <v>0</v>
      </c>
    </row>
    <row r="255" spans="1:17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9"/>
        <v>0</v>
      </c>
      <c r="P255" s="3">
        <f t="shared" si="10"/>
        <v>1</v>
      </c>
      <c r="Q255" s="3">
        <f t="shared" si="11"/>
        <v>0</v>
      </c>
    </row>
    <row r="256" spans="1:17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9"/>
        <v>0</v>
      </c>
      <c r="P256" s="3">
        <f t="shared" si="10"/>
        <v>1</v>
      </c>
      <c r="Q256" s="3">
        <f t="shared" si="11"/>
        <v>0</v>
      </c>
    </row>
    <row r="257" spans="1:17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9"/>
        <v>0</v>
      </c>
      <c r="P257" s="3">
        <f t="shared" si="10"/>
        <v>1</v>
      </c>
      <c r="Q257" s="3">
        <f t="shared" si="11"/>
        <v>0</v>
      </c>
    </row>
    <row r="258" spans="1:17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9"/>
        <v>0</v>
      </c>
      <c r="P258" s="3">
        <f t="shared" si="10"/>
        <v>1</v>
      </c>
      <c r="Q258" s="3">
        <f t="shared" si="11"/>
        <v>0</v>
      </c>
    </row>
    <row r="259" spans="1:17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12">IF(C259="North",1,0)</f>
        <v>0</v>
      </c>
      <c r="P259" s="3">
        <f t="shared" ref="P259:P321" si="13">IF(C259="South",1,0)</f>
        <v>1</v>
      </c>
      <c r="Q259" s="3">
        <f t="shared" ref="Q259:Q321" si="14">IF(C259="West",1,0)</f>
        <v>0</v>
      </c>
    </row>
    <row r="260" spans="1:17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12"/>
        <v>0</v>
      </c>
      <c r="P260" s="3">
        <f t="shared" si="13"/>
        <v>1</v>
      </c>
      <c r="Q260" s="3">
        <f t="shared" si="14"/>
        <v>0</v>
      </c>
    </row>
    <row r="261" spans="1:17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12"/>
        <v>0</v>
      </c>
      <c r="P261" s="3">
        <f t="shared" si="13"/>
        <v>1</v>
      </c>
      <c r="Q261" s="3">
        <f t="shared" si="14"/>
        <v>0</v>
      </c>
    </row>
    <row r="262" spans="1:17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12"/>
        <v>0</v>
      </c>
      <c r="P262" s="3">
        <f t="shared" si="13"/>
        <v>0</v>
      </c>
      <c r="Q262" s="3">
        <f t="shared" si="14"/>
        <v>1</v>
      </c>
    </row>
    <row r="263" spans="1:17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3.36</v>
      </c>
      <c r="K263">
        <v>0</v>
      </c>
      <c r="L263">
        <v>4.2</v>
      </c>
      <c r="M263">
        <v>605751.32999999996</v>
      </c>
      <c r="N263">
        <v>60685.53</v>
      </c>
      <c r="O263">
        <f t="shared" si="12"/>
        <v>0</v>
      </c>
      <c r="P263" s="3">
        <f t="shared" si="13"/>
        <v>0</v>
      </c>
      <c r="Q263" s="3">
        <f t="shared" si="14"/>
        <v>1</v>
      </c>
    </row>
    <row r="264" spans="1:17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12"/>
        <v>0</v>
      </c>
      <c r="P264" s="3">
        <f t="shared" si="13"/>
        <v>0</v>
      </c>
      <c r="Q264" s="3">
        <f t="shared" si="14"/>
        <v>1</v>
      </c>
    </row>
    <row r="265" spans="1:17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12"/>
        <v>0</v>
      </c>
      <c r="P265" s="3">
        <f t="shared" si="13"/>
        <v>0</v>
      </c>
      <c r="Q265" s="3">
        <f t="shared" si="14"/>
        <v>1</v>
      </c>
    </row>
    <row r="266" spans="1:17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12"/>
        <v>0</v>
      </c>
      <c r="P266" s="3">
        <f t="shared" si="13"/>
        <v>0</v>
      </c>
      <c r="Q266" s="3">
        <f t="shared" si="14"/>
        <v>0</v>
      </c>
    </row>
    <row r="267" spans="1:17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12"/>
        <v>0</v>
      </c>
      <c r="P267" s="3">
        <f t="shared" si="13"/>
        <v>0</v>
      </c>
      <c r="Q267" s="3">
        <f t="shared" si="14"/>
        <v>0</v>
      </c>
    </row>
    <row r="268" spans="1:17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12"/>
        <v>0</v>
      </c>
      <c r="P268" s="3">
        <f t="shared" si="13"/>
        <v>0</v>
      </c>
      <c r="Q268" s="3">
        <f t="shared" si="14"/>
        <v>0</v>
      </c>
    </row>
    <row r="269" spans="1:17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12"/>
        <v>0</v>
      </c>
      <c r="P269" s="3">
        <f t="shared" si="13"/>
        <v>0</v>
      </c>
      <c r="Q269" s="3">
        <f t="shared" si="14"/>
        <v>0</v>
      </c>
    </row>
    <row r="270" spans="1:17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12"/>
        <v>0</v>
      </c>
      <c r="P270" s="3">
        <f t="shared" si="13"/>
        <v>0</v>
      </c>
      <c r="Q270" s="3">
        <f t="shared" si="14"/>
        <v>0</v>
      </c>
    </row>
    <row r="271" spans="1:17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12"/>
        <v>0</v>
      </c>
      <c r="P271" s="3">
        <f t="shared" si="13"/>
        <v>0</v>
      </c>
      <c r="Q271" s="3">
        <f t="shared" si="14"/>
        <v>0</v>
      </c>
    </row>
    <row r="272" spans="1:17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12"/>
        <v>0</v>
      </c>
      <c r="P272" s="3">
        <f t="shared" si="13"/>
        <v>0</v>
      </c>
      <c r="Q272" s="3">
        <f t="shared" si="14"/>
        <v>0</v>
      </c>
    </row>
    <row r="273" spans="1:17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12"/>
        <v>0</v>
      </c>
      <c r="P273" s="3">
        <f t="shared" si="13"/>
        <v>0</v>
      </c>
      <c r="Q273" s="3">
        <f t="shared" si="14"/>
        <v>0</v>
      </c>
    </row>
    <row r="274" spans="1:17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12"/>
        <v>0</v>
      </c>
      <c r="P274" s="3">
        <f t="shared" si="13"/>
        <v>0</v>
      </c>
      <c r="Q274" s="3">
        <f t="shared" si="14"/>
        <v>1</v>
      </c>
    </row>
    <row r="275" spans="1:17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12"/>
        <v>0</v>
      </c>
      <c r="P275" s="3">
        <f t="shared" si="13"/>
        <v>0</v>
      </c>
      <c r="Q275" s="3">
        <f t="shared" si="14"/>
        <v>1</v>
      </c>
    </row>
    <row r="276" spans="1:17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12"/>
        <v>0</v>
      </c>
      <c r="P276" s="3">
        <f t="shared" si="13"/>
        <v>0</v>
      </c>
      <c r="Q276" s="3">
        <f t="shared" si="14"/>
        <v>1</v>
      </c>
    </row>
    <row r="277" spans="1:17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12"/>
        <v>0</v>
      </c>
      <c r="P277" s="3">
        <f t="shared" si="13"/>
        <v>0</v>
      </c>
      <c r="Q277" s="3">
        <f t="shared" si="14"/>
        <v>1</v>
      </c>
    </row>
    <row r="278" spans="1:17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12"/>
        <v>0</v>
      </c>
      <c r="P278" s="3">
        <f t="shared" si="13"/>
        <v>1</v>
      </c>
      <c r="Q278" s="3">
        <f t="shared" si="14"/>
        <v>0</v>
      </c>
    </row>
    <row r="279" spans="1:17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12"/>
        <v>0</v>
      </c>
      <c r="P279" s="3">
        <f t="shared" si="13"/>
        <v>1</v>
      </c>
      <c r="Q279" s="3">
        <f t="shared" si="14"/>
        <v>0</v>
      </c>
    </row>
    <row r="280" spans="1:17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12"/>
        <v>0</v>
      </c>
      <c r="P280" s="3">
        <f t="shared" si="13"/>
        <v>1</v>
      </c>
      <c r="Q280" s="3">
        <f t="shared" si="14"/>
        <v>0</v>
      </c>
    </row>
    <row r="281" spans="1:17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12"/>
        <v>0</v>
      </c>
      <c r="P281" s="3">
        <f t="shared" si="13"/>
        <v>1</v>
      </c>
      <c r="Q281" s="3">
        <f t="shared" si="14"/>
        <v>0</v>
      </c>
    </row>
    <row r="282" spans="1:17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12"/>
        <v>0</v>
      </c>
      <c r="P282" s="3">
        <f t="shared" si="13"/>
        <v>1</v>
      </c>
      <c r="Q282" s="3">
        <f t="shared" si="14"/>
        <v>0</v>
      </c>
    </row>
    <row r="283" spans="1:17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12"/>
        <v>0</v>
      </c>
      <c r="P283" s="3">
        <f t="shared" si="13"/>
        <v>1</v>
      </c>
      <c r="Q283" s="3">
        <f t="shared" si="14"/>
        <v>0</v>
      </c>
    </row>
    <row r="284" spans="1:17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12"/>
        <v>0</v>
      </c>
      <c r="P284" s="3">
        <f t="shared" si="13"/>
        <v>1</v>
      </c>
      <c r="Q284" s="3">
        <f t="shared" si="14"/>
        <v>0</v>
      </c>
    </row>
    <row r="285" spans="1:17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12"/>
        <v>0</v>
      </c>
      <c r="P285" s="3">
        <f t="shared" si="13"/>
        <v>1</v>
      </c>
      <c r="Q285" s="3">
        <f t="shared" si="14"/>
        <v>0</v>
      </c>
    </row>
    <row r="286" spans="1:17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12"/>
        <v>0</v>
      </c>
      <c r="P286" s="3">
        <f t="shared" si="13"/>
        <v>0</v>
      </c>
      <c r="Q286" s="3">
        <f t="shared" si="14"/>
        <v>1</v>
      </c>
    </row>
    <row r="287" spans="1:17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12"/>
        <v>0</v>
      </c>
      <c r="P287" s="3">
        <f t="shared" si="13"/>
        <v>0</v>
      </c>
      <c r="Q287" s="3">
        <f t="shared" si="14"/>
        <v>1</v>
      </c>
    </row>
    <row r="288" spans="1:17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12"/>
        <v>0</v>
      </c>
      <c r="P288" s="3">
        <f t="shared" si="13"/>
        <v>0</v>
      </c>
      <c r="Q288" s="3">
        <f t="shared" si="14"/>
        <v>1</v>
      </c>
    </row>
    <row r="289" spans="1:17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12"/>
        <v>0</v>
      </c>
      <c r="P289" s="3">
        <f t="shared" si="13"/>
        <v>0</v>
      </c>
      <c r="Q289" s="3">
        <f t="shared" si="14"/>
        <v>1</v>
      </c>
    </row>
    <row r="290" spans="1:17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12"/>
        <v>0</v>
      </c>
      <c r="P290" s="3">
        <f t="shared" si="13"/>
        <v>0</v>
      </c>
      <c r="Q290" s="3">
        <f t="shared" si="14"/>
        <v>0</v>
      </c>
    </row>
    <row r="291" spans="1:17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12"/>
        <v>0</v>
      </c>
      <c r="P291" s="3">
        <f t="shared" si="13"/>
        <v>0</v>
      </c>
      <c r="Q291" s="3">
        <f t="shared" si="14"/>
        <v>0</v>
      </c>
    </row>
    <row r="292" spans="1:17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12"/>
        <v>0</v>
      </c>
      <c r="P292" s="3">
        <f t="shared" si="13"/>
        <v>0</v>
      </c>
      <c r="Q292" s="3">
        <f t="shared" si="14"/>
        <v>0</v>
      </c>
    </row>
    <row r="293" spans="1:17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12"/>
        <v>0</v>
      </c>
      <c r="P293" s="3">
        <f t="shared" si="13"/>
        <v>0</v>
      </c>
      <c r="Q293" s="3">
        <f t="shared" si="14"/>
        <v>0</v>
      </c>
    </row>
    <row r="294" spans="1:17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12"/>
        <v>0</v>
      </c>
      <c r="P294" s="3">
        <f t="shared" si="13"/>
        <v>0</v>
      </c>
      <c r="Q294" s="3">
        <f t="shared" si="14"/>
        <v>1</v>
      </c>
    </row>
    <row r="295" spans="1:17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12"/>
        <v>0</v>
      </c>
      <c r="P295" s="3">
        <f t="shared" si="13"/>
        <v>0</v>
      </c>
      <c r="Q295" s="3">
        <f t="shared" si="14"/>
        <v>1</v>
      </c>
    </row>
    <row r="296" spans="1:17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12"/>
        <v>0</v>
      </c>
      <c r="P296" s="3">
        <f t="shared" si="13"/>
        <v>0</v>
      </c>
      <c r="Q296" s="3">
        <f t="shared" si="14"/>
        <v>1</v>
      </c>
    </row>
    <row r="297" spans="1:17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12"/>
        <v>0</v>
      </c>
      <c r="P297" s="3">
        <f t="shared" si="13"/>
        <v>0</v>
      </c>
      <c r="Q297" s="3">
        <f t="shared" si="14"/>
        <v>1</v>
      </c>
    </row>
    <row r="298" spans="1:17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12"/>
        <v>0</v>
      </c>
      <c r="P298" s="3">
        <f t="shared" si="13"/>
        <v>0</v>
      </c>
      <c r="Q298" s="3">
        <f t="shared" si="14"/>
        <v>1</v>
      </c>
    </row>
    <row r="299" spans="1:17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12"/>
        <v>0</v>
      </c>
      <c r="P299" s="3">
        <f t="shared" si="13"/>
        <v>0</v>
      </c>
      <c r="Q299" s="3">
        <f t="shared" si="14"/>
        <v>1</v>
      </c>
    </row>
    <row r="300" spans="1:17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12"/>
        <v>0</v>
      </c>
      <c r="P300" s="3">
        <f t="shared" si="13"/>
        <v>0</v>
      </c>
      <c r="Q300" s="3">
        <f t="shared" si="14"/>
        <v>1</v>
      </c>
    </row>
    <row r="301" spans="1:17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12"/>
        <v>0</v>
      </c>
      <c r="P301" s="3">
        <f t="shared" si="13"/>
        <v>0</v>
      </c>
      <c r="Q301" s="3">
        <f t="shared" si="14"/>
        <v>1</v>
      </c>
    </row>
    <row r="302" spans="1:17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12"/>
        <v>1</v>
      </c>
      <c r="P302" s="3">
        <f t="shared" si="13"/>
        <v>0</v>
      </c>
      <c r="Q302" s="3">
        <f t="shared" si="14"/>
        <v>0</v>
      </c>
    </row>
    <row r="303" spans="1:17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12"/>
        <v>1</v>
      </c>
      <c r="P303" s="3">
        <f t="shared" si="13"/>
        <v>0</v>
      </c>
      <c r="Q303" s="3">
        <f t="shared" si="14"/>
        <v>0</v>
      </c>
    </row>
    <row r="304" spans="1:17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12"/>
        <v>1</v>
      </c>
      <c r="P304" s="3">
        <f t="shared" si="13"/>
        <v>0</v>
      </c>
      <c r="Q304" s="3">
        <f t="shared" si="14"/>
        <v>0</v>
      </c>
    </row>
    <row r="305" spans="1:17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12"/>
        <v>1</v>
      </c>
      <c r="P305" s="3">
        <f t="shared" si="13"/>
        <v>0</v>
      </c>
      <c r="Q305" s="3">
        <f t="shared" si="14"/>
        <v>0</v>
      </c>
    </row>
    <row r="306" spans="1:17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12"/>
        <v>0</v>
      </c>
      <c r="P306" s="3">
        <f t="shared" si="13"/>
        <v>1</v>
      </c>
      <c r="Q306" s="3">
        <f t="shared" si="14"/>
        <v>0</v>
      </c>
    </row>
    <row r="307" spans="1:17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12"/>
        <v>0</v>
      </c>
      <c r="P307" s="3">
        <f t="shared" si="13"/>
        <v>1</v>
      </c>
      <c r="Q307" s="3">
        <f t="shared" si="14"/>
        <v>0</v>
      </c>
    </row>
    <row r="308" spans="1:17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12"/>
        <v>0</v>
      </c>
      <c r="P308" s="3">
        <f t="shared" si="13"/>
        <v>1</v>
      </c>
      <c r="Q308" s="3">
        <f t="shared" si="14"/>
        <v>0</v>
      </c>
    </row>
    <row r="309" spans="1:17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12"/>
        <v>0</v>
      </c>
      <c r="P309" s="3">
        <f t="shared" si="13"/>
        <v>1</v>
      </c>
      <c r="Q309" s="3">
        <f t="shared" si="14"/>
        <v>0</v>
      </c>
    </row>
    <row r="310" spans="1:17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12"/>
        <v>0</v>
      </c>
      <c r="P310" s="3">
        <f t="shared" si="13"/>
        <v>1</v>
      </c>
      <c r="Q310" s="3">
        <f t="shared" si="14"/>
        <v>0</v>
      </c>
    </row>
    <row r="311" spans="1:17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12"/>
        <v>0</v>
      </c>
      <c r="P311" s="3">
        <f t="shared" si="13"/>
        <v>1</v>
      </c>
      <c r="Q311" s="3">
        <f t="shared" si="14"/>
        <v>0</v>
      </c>
    </row>
    <row r="312" spans="1:17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12"/>
        <v>0</v>
      </c>
      <c r="P312" s="3">
        <f t="shared" si="13"/>
        <v>1</v>
      </c>
      <c r="Q312" s="3">
        <f t="shared" si="14"/>
        <v>0</v>
      </c>
    </row>
    <row r="313" spans="1:17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  <c r="O313">
        <f t="shared" si="12"/>
        <v>0</v>
      </c>
      <c r="P313" s="3">
        <f t="shared" si="13"/>
        <v>1</v>
      </c>
      <c r="Q313" s="3">
        <f t="shared" si="14"/>
        <v>0</v>
      </c>
    </row>
    <row r="314" spans="1:17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12"/>
        <v>1</v>
      </c>
      <c r="P314" s="3">
        <f t="shared" si="13"/>
        <v>0</v>
      </c>
      <c r="Q314" s="3">
        <f t="shared" si="14"/>
        <v>0</v>
      </c>
    </row>
    <row r="315" spans="1:17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>
        <v>688368.46</v>
      </c>
      <c r="N315">
        <v>93588.42</v>
      </c>
      <c r="O315">
        <f t="shared" si="12"/>
        <v>1</v>
      </c>
      <c r="P315" s="3">
        <f t="shared" si="13"/>
        <v>0</v>
      </c>
      <c r="Q315" s="3">
        <f t="shared" si="14"/>
        <v>0</v>
      </c>
    </row>
    <row r="316" spans="1:17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12"/>
        <v>1</v>
      </c>
      <c r="P316" s="3">
        <f t="shared" si="13"/>
        <v>0</v>
      </c>
      <c r="Q316" s="3">
        <f t="shared" si="14"/>
        <v>0</v>
      </c>
    </row>
    <row r="317" spans="1:17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12"/>
        <v>1</v>
      </c>
      <c r="P317" s="3">
        <f t="shared" si="13"/>
        <v>0</v>
      </c>
      <c r="Q317" s="3">
        <f t="shared" si="14"/>
        <v>0</v>
      </c>
    </row>
    <row r="318" spans="1:17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12"/>
        <v>0</v>
      </c>
      <c r="P318" s="3">
        <f t="shared" si="13"/>
        <v>0</v>
      </c>
      <c r="Q318" s="3">
        <f t="shared" si="14"/>
        <v>0</v>
      </c>
    </row>
    <row r="319" spans="1:17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12"/>
        <v>0</v>
      </c>
      <c r="P319" s="3">
        <f t="shared" si="13"/>
        <v>0</v>
      </c>
      <c r="Q319" s="3">
        <f t="shared" si="14"/>
        <v>0</v>
      </c>
    </row>
    <row r="320" spans="1:17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12"/>
        <v>0</v>
      </c>
      <c r="P320" s="3">
        <f t="shared" si="13"/>
        <v>0</v>
      </c>
      <c r="Q320" s="3">
        <f t="shared" si="14"/>
        <v>0</v>
      </c>
    </row>
    <row r="321" spans="1:17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12"/>
        <v>0</v>
      </c>
      <c r="P321" s="3">
        <f t="shared" si="13"/>
        <v>0</v>
      </c>
      <c r="Q321" s="3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2883-CF58-4559-92BD-EE003E2C19B6}">
  <dimension ref="A2:J345"/>
  <sheetViews>
    <sheetView workbookViewId="0">
      <selection activeCell="F27" sqref="F27"/>
    </sheetView>
  </sheetViews>
  <sheetFormatPr defaultRowHeight="14.4"/>
  <cols>
    <col min="1" max="1" width="17.44140625" bestFit="1" customWidth="1"/>
    <col min="2" max="2" width="21.44140625" bestFit="1" customWidth="1"/>
    <col min="3" max="3" width="19.109375" customWidth="1"/>
    <col min="4" max="5" width="10.44140625" customWidth="1"/>
    <col min="6" max="6" width="15.109375" customWidth="1"/>
    <col min="7" max="9" width="10.44140625" customWidth="1"/>
    <col min="10" max="10" width="11.44140625" customWidth="1"/>
  </cols>
  <sheetData>
    <row r="2" spans="1:10">
      <c r="A2" s="9" t="s">
        <v>105</v>
      </c>
      <c r="B2" s="8"/>
    </row>
    <row r="3" spans="1:10" ht="15" thickBot="1"/>
    <row r="4" spans="1:10">
      <c r="A4" s="10" t="s">
        <v>106</v>
      </c>
      <c r="B4" s="6"/>
    </row>
    <row r="5" spans="1:10">
      <c r="A5" s="4" t="s">
        <v>107</v>
      </c>
      <c r="B5" s="4">
        <v>0.40895561021322352</v>
      </c>
    </row>
    <row r="6" spans="1:10">
      <c r="A6" s="4" t="s">
        <v>108</v>
      </c>
      <c r="B6" s="4">
        <v>0.16724469112487</v>
      </c>
    </row>
    <row r="7" spans="1:10">
      <c r="A7" s="4" t="s">
        <v>109</v>
      </c>
      <c r="B7" s="4">
        <v>0.16462596373847024</v>
      </c>
    </row>
    <row r="8" spans="1:10">
      <c r="A8" s="4" t="s">
        <v>110</v>
      </c>
      <c r="B8" s="4">
        <v>94846.03383215853</v>
      </c>
    </row>
    <row r="9" spans="1:10" ht="15" thickBot="1">
      <c r="A9" s="5" t="s">
        <v>111</v>
      </c>
      <c r="B9" s="5">
        <v>320</v>
      </c>
    </row>
    <row r="11" spans="1:10" ht="15" thickBot="1">
      <c r="A11" s="11" t="s">
        <v>112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6"/>
      <c r="B12" s="6" t="s">
        <v>117</v>
      </c>
      <c r="C12" s="6" t="s">
        <v>118</v>
      </c>
      <c r="D12" s="6" t="s">
        <v>119</v>
      </c>
      <c r="E12" s="6" t="s">
        <v>120</v>
      </c>
      <c r="F12" s="6" t="s">
        <v>121</v>
      </c>
    </row>
    <row r="13" spans="1:10">
      <c r="A13" s="4" t="s">
        <v>113</v>
      </c>
      <c r="B13" s="4">
        <v>1</v>
      </c>
      <c r="C13" s="4">
        <v>574513714277.01416</v>
      </c>
      <c r="D13" s="4">
        <v>574513714277.01416</v>
      </c>
      <c r="E13" s="4">
        <v>63.864872683367629</v>
      </c>
      <c r="F13" s="4">
        <v>2.4800615101359619E-14</v>
      </c>
    </row>
    <row r="14" spans="1:10">
      <c r="A14" s="4" t="s">
        <v>114</v>
      </c>
      <c r="B14" s="4">
        <v>318</v>
      </c>
      <c r="C14" s="4">
        <v>2860654902513.7251</v>
      </c>
      <c r="D14" s="4">
        <v>8995770133.6909599</v>
      </c>
      <c r="E14" s="4"/>
      <c r="F14" s="4"/>
    </row>
    <row r="15" spans="1:10" ht="15" thickBot="1">
      <c r="A15" s="5" t="s">
        <v>115</v>
      </c>
      <c r="B15" s="5">
        <v>319</v>
      </c>
      <c r="C15" s="5">
        <v>3435168616790.7393</v>
      </c>
      <c r="D15" s="5"/>
      <c r="E15" s="5"/>
      <c r="F15" s="5"/>
    </row>
    <row r="16" spans="1:10" ht="15" thickBot="1"/>
    <row r="17" spans="1:9">
      <c r="A17" s="6"/>
      <c r="B17" s="6" t="s">
        <v>122</v>
      </c>
      <c r="C17" s="6" t="s">
        <v>110</v>
      </c>
      <c r="D17" s="6" t="s">
        <v>123</v>
      </c>
      <c r="E17" s="6" t="s">
        <v>124</v>
      </c>
      <c r="F17" s="6" t="s">
        <v>125</v>
      </c>
      <c r="G17" s="6" t="s">
        <v>126</v>
      </c>
      <c r="H17" s="6" t="s">
        <v>127</v>
      </c>
      <c r="I17" s="6" t="s">
        <v>128</v>
      </c>
    </row>
    <row r="18" spans="1:9">
      <c r="A18" s="4" t="s">
        <v>116</v>
      </c>
      <c r="B18" s="4">
        <v>560777.34544943704</v>
      </c>
      <c r="C18" s="4">
        <v>15906.905953068674</v>
      </c>
      <c r="D18" s="4">
        <v>35.253703460870398</v>
      </c>
      <c r="E18" s="4">
        <v>6.952876876284135E-112</v>
      </c>
      <c r="F18" s="4">
        <v>529481.27234763221</v>
      </c>
      <c r="G18" s="4">
        <v>592073.41855124186</v>
      </c>
      <c r="H18" s="4">
        <v>529481.27234763221</v>
      </c>
      <c r="I18" s="4">
        <v>592073.41855124186</v>
      </c>
    </row>
    <row r="19" spans="1:9" ht="15" thickBot="1">
      <c r="A19" s="5" t="s">
        <v>4</v>
      </c>
      <c r="B19" s="5">
        <v>2.1295753275898281</v>
      </c>
      <c r="C19" s="5">
        <v>0.26647838106932348</v>
      </c>
      <c r="D19" s="5">
        <v>7.991550080138869</v>
      </c>
      <c r="E19" s="5">
        <v>2.4800615101360068E-14</v>
      </c>
      <c r="F19" s="5">
        <v>1.6052919176921738</v>
      </c>
      <c r="G19" s="5">
        <v>2.6538587374874822</v>
      </c>
      <c r="H19" s="5">
        <v>1.6052919176921738</v>
      </c>
      <c r="I19" s="5">
        <v>2.6538587374874822</v>
      </c>
    </row>
    <row r="23" spans="1:9">
      <c r="A23" s="11" t="s">
        <v>129</v>
      </c>
    </row>
    <row r="24" spans="1:9" ht="15" thickBot="1"/>
    <row r="25" spans="1:9">
      <c r="A25" s="6" t="s">
        <v>130</v>
      </c>
      <c r="B25" s="6" t="s">
        <v>131</v>
      </c>
      <c r="C25" s="6" t="s">
        <v>132</v>
      </c>
    </row>
    <row r="26" spans="1:9">
      <c r="A26" s="4">
        <v>1</v>
      </c>
      <c r="B26" s="4">
        <v>710676.25743644347</v>
      </c>
      <c r="C26" s="4">
        <v>-51843.637436443474</v>
      </c>
    </row>
    <row r="27" spans="1:9">
      <c r="A27" s="4">
        <v>2</v>
      </c>
      <c r="B27" s="4">
        <v>654112.13865375798</v>
      </c>
      <c r="C27" s="4">
        <v>-19676.138653757982</v>
      </c>
    </row>
    <row r="28" spans="1:9">
      <c r="A28" s="4">
        <v>3</v>
      </c>
      <c r="B28" s="4">
        <v>688385.22583544278</v>
      </c>
      <c r="C28" s="4">
        <v>-9663.16583544272</v>
      </c>
    </row>
    <row r="29" spans="1:9">
      <c r="A29" s="4">
        <v>4</v>
      </c>
      <c r="B29" s="4">
        <v>681857.82190734067</v>
      </c>
      <c r="C29" s="4">
        <v>-22937.521907340619</v>
      </c>
    </row>
    <row r="30" spans="1:9">
      <c r="A30" s="4">
        <v>5</v>
      </c>
      <c r="B30" s="4">
        <v>663875.7091369254</v>
      </c>
      <c r="C30" s="4">
        <v>77465.730863074539</v>
      </c>
    </row>
    <row r="31" spans="1:9">
      <c r="A31" s="4">
        <v>6</v>
      </c>
      <c r="B31" s="4">
        <v>698797.69921668014</v>
      </c>
      <c r="C31" s="4">
        <v>63037.640783319832</v>
      </c>
    </row>
    <row r="32" spans="1:9">
      <c r="A32" s="4">
        <v>7</v>
      </c>
      <c r="B32" s="4">
        <v>659192.36837224313</v>
      </c>
      <c r="C32" s="4">
        <v>147423.17162775691</v>
      </c>
    </row>
    <row r="33" spans="1:3">
      <c r="A33" s="4">
        <v>8</v>
      </c>
      <c r="B33" s="4">
        <v>705904.752253199</v>
      </c>
      <c r="C33" s="4">
        <v>144259.50774680101</v>
      </c>
    </row>
    <row r="34" spans="1:3">
      <c r="A34" s="4">
        <v>9</v>
      </c>
      <c r="B34" s="4">
        <v>713763.60926761688</v>
      </c>
      <c r="C34" s="4">
        <v>216818.09073238308</v>
      </c>
    </row>
    <row r="35" spans="1:3">
      <c r="A35" s="4">
        <v>10</v>
      </c>
      <c r="B35" s="4">
        <v>705872.63825725892</v>
      </c>
      <c r="C35" s="4">
        <v>73138.301742741023</v>
      </c>
    </row>
    <row r="36" spans="1:3">
      <c r="A36" s="4">
        <v>11</v>
      </c>
      <c r="B36" s="4">
        <v>633790.28276667313</v>
      </c>
      <c r="C36" s="4">
        <v>89270.477233326877</v>
      </c>
    </row>
    <row r="37" spans="1:3">
      <c r="A37" s="4">
        <v>12</v>
      </c>
      <c r="B37" s="4">
        <v>705545.62066995422</v>
      </c>
      <c r="C37" s="4">
        <v>205246.31933004572</v>
      </c>
    </row>
    <row r="38" spans="1:3">
      <c r="A38" s="4">
        <v>13</v>
      </c>
      <c r="B38" s="4">
        <v>713741.03576914431</v>
      </c>
      <c r="C38" s="4">
        <v>208427.56423085567</v>
      </c>
    </row>
    <row r="39" spans="1:3">
      <c r="A39" s="4">
        <v>14</v>
      </c>
      <c r="B39" s="4">
        <v>679430.51065320056</v>
      </c>
      <c r="C39" s="4">
        <v>47175.769346799469</v>
      </c>
    </row>
    <row r="40" spans="1:3">
      <c r="A40" s="4">
        <v>15</v>
      </c>
      <c r="B40" s="4">
        <v>688359.15983343311</v>
      </c>
      <c r="C40" s="4">
        <v>58141.930166566861</v>
      </c>
    </row>
    <row r="41" spans="1:3">
      <c r="A41" s="4">
        <v>16</v>
      </c>
      <c r="B41" s="4">
        <v>721146.52749207162</v>
      </c>
      <c r="C41" s="4">
        <v>112870.4925079284</v>
      </c>
    </row>
    <row r="42" spans="1:3">
      <c r="A42" s="4">
        <v>17</v>
      </c>
      <c r="B42" s="4">
        <v>664709.60824370314</v>
      </c>
      <c r="C42" s="4">
        <v>1442.911756296875</v>
      </c>
    </row>
    <row r="43" spans="1:3">
      <c r="A43" s="4">
        <v>18</v>
      </c>
      <c r="B43" s="4">
        <v>686673.36670835968</v>
      </c>
      <c r="C43" s="4">
        <v>-113518.17670835974</v>
      </c>
    </row>
    <row r="44" spans="1:3">
      <c r="A44" s="4">
        <v>19</v>
      </c>
      <c r="B44" s="4">
        <v>728654.1536477101</v>
      </c>
      <c r="C44" s="4">
        <v>-62080.95364771015</v>
      </c>
    </row>
    <row r="45" spans="1:3">
      <c r="A45" s="4">
        <v>20</v>
      </c>
      <c r="B45" s="4">
        <v>649031.05710514181</v>
      </c>
      <c r="C45" s="4">
        <v>-57411.107105141855</v>
      </c>
    </row>
    <row r="46" spans="1:3">
      <c r="A46" s="4">
        <v>21</v>
      </c>
      <c r="B46" s="4">
        <v>625423.33037484554</v>
      </c>
      <c r="C46" s="4">
        <v>-209701.51037484553</v>
      </c>
    </row>
    <row r="47" spans="1:3">
      <c r="A47" s="4">
        <v>22</v>
      </c>
      <c r="B47" s="4">
        <v>632158.32530588121</v>
      </c>
      <c r="C47" s="4">
        <v>-140253.19530588121</v>
      </c>
    </row>
    <row r="48" spans="1:3">
      <c r="A48" s="4">
        <v>23</v>
      </c>
      <c r="B48" s="4">
        <v>650788.89376354753</v>
      </c>
      <c r="C48" s="4">
        <v>-94859.493763547507</v>
      </c>
    </row>
    <row r="49" spans="1:3">
      <c r="A49" s="4">
        <v>24</v>
      </c>
      <c r="B49" s="4">
        <v>692939.7059970526</v>
      </c>
      <c r="C49" s="4">
        <v>-127128.71599705261</v>
      </c>
    </row>
    <row r="50" spans="1:3">
      <c r="A50" s="4">
        <v>25</v>
      </c>
      <c r="B50" s="4">
        <v>683646.79295703582</v>
      </c>
      <c r="C50" s="4">
        <v>128124.34704296419</v>
      </c>
    </row>
    <row r="51" spans="1:3">
      <c r="A51" s="4">
        <v>26</v>
      </c>
      <c r="B51" s="4">
        <v>927949.18293500762</v>
      </c>
      <c r="C51" s="4">
        <v>-127497.24293500767</v>
      </c>
    </row>
    <row r="52" spans="1:3">
      <c r="A52" s="4">
        <v>27</v>
      </c>
      <c r="B52" s="4">
        <v>678480.08118449722</v>
      </c>
      <c r="C52" s="4">
        <v>105192.73881550273</v>
      </c>
    </row>
    <row r="53" spans="1:3">
      <c r="A53" s="4">
        <v>28</v>
      </c>
      <c r="B53" s="4">
        <v>673038.12180086761</v>
      </c>
      <c r="C53" s="4">
        <v>28603.848199132364</v>
      </c>
    </row>
    <row r="54" spans="1:3">
      <c r="A54" s="4">
        <v>29</v>
      </c>
      <c r="B54" s="4">
        <v>706867.53325880237</v>
      </c>
      <c r="C54" s="4">
        <v>-195023.1232588024</v>
      </c>
    </row>
    <row r="55" spans="1:3">
      <c r="A55" s="4">
        <v>30</v>
      </c>
      <c r="B55" s="4">
        <v>695316.95093524118</v>
      </c>
      <c r="C55" s="4">
        <v>-157933.16093524115</v>
      </c>
    </row>
    <row r="56" spans="1:3">
      <c r="A56" s="4">
        <v>31</v>
      </c>
      <c r="B56" s="4">
        <v>656544.51829717786</v>
      </c>
      <c r="C56" s="4">
        <v>-156371.49829717784</v>
      </c>
    </row>
    <row r="57" spans="1:3">
      <c r="A57" s="4">
        <v>32</v>
      </c>
      <c r="B57" s="4">
        <v>709456.52187181311</v>
      </c>
      <c r="C57" s="4">
        <v>-281539.1418718131</v>
      </c>
    </row>
    <row r="58" spans="1:3">
      <c r="A58" s="4">
        <v>33</v>
      </c>
      <c r="B58" s="4">
        <v>677047.53715738084</v>
      </c>
      <c r="C58" s="4">
        <v>-35182.507157380809</v>
      </c>
    </row>
    <row r="59" spans="1:3">
      <c r="A59" s="4">
        <v>34</v>
      </c>
      <c r="B59" s="4">
        <v>717880.18485461432</v>
      </c>
      <c r="C59" s="4">
        <v>81597.575145385694</v>
      </c>
    </row>
    <row r="60" spans="1:3">
      <c r="A60" s="4">
        <v>35</v>
      </c>
      <c r="B60" s="4">
        <v>719247.30832766718</v>
      </c>
      <c r="C60" s="4">
        <v>79704.86167233286</v>
      </c>
    </row>
    <row r="61" spans="1:3">
      <c r="A61" s="4">
        <v>36</v>
      </c>
      <c r="B61" s="4">
        <v>672545.48714033619</v>
      </c>
      <c r="C61" s="4">
        <v>128434.29285966384</v>
      </c>
    </row>
    <row r="62" spans="1:3">
      <c r="A62" s="4">
        <v>37</v>
      </c>
      <c r="B62" s="4">
        <v>721070.20351233077</v>
      </c>
      <c r="C62" s="4">
        <v>99523.726487669279</v>
      </c>
    </row>
    <row r="63" spans="1:3">
      <c r="A63" s="4">
        <v>38</v>
      </c>
      <c r="B63" s="4">
        <v>691204.05951356038</v>
      </c>
      <c r="C63" s="4">
        <v>27126.470486439648</v>
      </c>
    </row>
    <row r="64" spans="1:3">
      <c r="A64" s="4">
        <v>39</v>
      </c>
      <c r="B64" s="4">
        <v>759639.77280468796</v>
      </c>
      <c r="C64" s="4">
        <v>-23006.372804687941</v>
      </c>
    </row>
    <row r="65" spans="1:3">
      <c r="A65" s="4">
        <v>40</v>
      </c>
      <c r="B65" s="4">
        <v>699225.70126601914</v>
      </c>
      <c r="C65" s="4">
        <v>129398.14873398084</v>
      </c>
    </row>
    <row r="66" spans="1:3">
      <c r="A66" s="4">
        <v>41</v>
      </c>
      <c r="B66" s="4">
        <v>646946.22415518458</v>
      </c>
      <c r="C66" s="4">
        <v>-54750.374155184603</v>
      </c>
    </row>
    <row r="67" spans="1:3">
      <c r="A67" s="4">
        <v>42</v>
      </c>
      <c r="B67" s="4">
        <v>659001.622310151</v>
      </c>
      <c r="C67" s="4">
        <v>-126357.16231015103</v>
      </c>
    </row>
    <row r="68" spans="1:3">
      <c r="A68" s="4">
        <v>43</v>
      </c>
      <c r="B68" s="4">
        <v>705753.59499644663</v>
      </c>
      <c r="C68" s="4">
        <v>-48324.414996446576</v>
      </c>
    </row>
    <row r="69" spans="1:3">
      <c r="A69" s="4">
        <v>44</v>
      </c>
      <c r="B69" s="4">
        <v>698948.74999466608</v>
      </c>
      <c r="C69" s="4">
        <v>-93770.749994666083</v>
      </c>
    </row>
    <row r="70" spans="1:3">
      <c r="A70" s="4">
        <v>45</v>
      </c>
      <c r="B70" s="4">
        <v>856480.61364533973</v>
      </c>
      <c r="C70" s="4">
        <v>-261013.01364533976</v>
      </c>
    </row>
    <row r="71" spans="1:3">
      <c r="A71" s="4">
        <v>46</v>
      </c>
      <c r="B71" s="4">
        <v>696282.67075479659</v>
      </c>
      <c r="C71" s="4">
        <v>-96679.270754796569</v>
      </c>
    </row>
    <row r="72" spans="1:3">
      <c r="A72" s="4">
        <v>47</v>
      </c>
      <c r="B72" s="4">
        <v>667349.06779197778</v>
      </c>
      <c r="C72" s="4">
        <v>-52548.977791977813</v>
      </c>
    </row>
    <row r="73" spans="1:3">
      <c r="A73" s="4">
        <v>48</v>
      </c>
      <c r="B73" s="4">
        <v>650419.3485569508</v>
      </c>
      <c r="C73" s="4">
        <v>-65053.618556950823</v>
      </c>
    </row>
    <row r="74" spans="1:3">
      <c r="A74" s="4">
        <v>49</v>
      </c>
      <c r="B74" s="4">
        <v>660066.77200175158</v>
      </c>
      <c r="C74" s="4">
        <v>-37255.032001751591</v>
      </c>
    </row>
    <row r="75" spans="1:3">
      <c r="A75" s="4">
        <v>50</v>
      </c>
      <c r="B75" s="4">
        <v>666639.15256077237</v>
      </c>
      <c r="C75" s="4">
        <v>-63341.582560772425</v>
      </c>
    </row>
    <row r="76" spans="1:3">
      <c r="A76" s="4">
        <v>51</v>
      </c>
      <c r="B76" s="4">
        <v>663609.95943179552</v>
      </c>
      <c r="C76" s="4">
        <v>-37937.099431795534</v>
      </c>
    </row>
    <row r="77" spans="1:3">
      <c r="A77" s="4">
        <v>52</v>
      </c>
      <c r="B77" s="4">
        <v>699865.21273689438</v>
      </c>
      <c r="C77" s="4">
        <v>73949.927263105637</v>
      </c>
    </row>
    <row r="78" spans="1:3">
      <c r="A78" s="4">
        <v>53</v>
      </c>
      <c r="B78" s="4">
        <v>673677.76104626246</v>
      </c>
      <c r="C78" s="4">
        <v>-210143.51104626246</v>
      </c>
    </row>
    <row r="79" spans="1:3">
      <c r="A79" s="4">
        <v>54</v>
      </c>
      <c r="B79" s="4">
        <v>773466.57301289681</v>
      </c>
      <c r="C79" s="4">
        <v>-26788.823012896813</v>
      </c>
    </row>
    <row r="80" spans="1:3">
      <c r="A80" s="4">
        <v>55</v>
      </c>
      <c r="B80" s="4">
        <v>733689.27896075696</v>
      </c>
      <c r="C80" s="4">
        <v>-12836.778960756958</v>
      </c>
    </row>
    <row r="81" spans="1:3">
      <c r="A81" s="4">
        <v>56</v>
      </c>
      <c r="B81" s="4">
        <v>619997.85390425147</v>
      </c>
      <c r="C81" s="4">
        <v>-132532.9439042515</v>
      </c>
    </row>
    <row r="82" spans="1:3">
      <c r="A82" s="4">
        <v>57</v>
      </c>
      <c r="B82" s="4">
        <v>602016.69944273378</v>
      </c>
      <c r="C82" s="4">
        <v>-83967.439442733768</v>
      </c>
    </row>
    <row r="83" spans="1:3">
      <c r="A83" s="4">
        <v>58</v>
      </c>
      <c r="B83" s="4">
        <v>687286.21589613357</v>
      </c>
      <c r="C83" s="4">
        <v>-186987.73589613358</v>
      </c>
    </row>
    <row r="84" spans="1:3">
      <c r="A84" s="4">
        <v>59</v>
      </c>
      <c r="B84" s="4">
        <v>814006.16984930076</v>
      </c>
      <c r="C84" s="4">
        <v>-196715.01984930073</v>
      </c>
    </row>
    <row r="85" spans="1:3">
      <c r="A85" s="4">
        <v>60</v>
      </c>
      <c r="B85" s="4">
        <v>673542.87374501291</v>
      </c>
      <c r="C85" s="4">
        <v>-119786.44374501286</v>
      </c>
    </row>
    <row r="86" spans="1:3">
      <c r="A86" s="4">
        <v>61</v>
      </c>
      <c r="B86" s="4">
        <v>720299.53149702935</v>
      </c>
      <c r="C86" s="4">
        <v>29260.178502970608</v>
      </c>
    </row>
    <row r="87" spans="1:3">
      <c r="A87" s="4">
        <v>62</v>
      </c>
      <c r="B87" s="4">
        <v>640177.83748301235</v>
      </c>
      <c r="C87" s="4">
        <v>-24211.357483012369</v>
      </c>
    </row>
    <row r="88" spans="1:3">
      <c r="A88" s="4">
        <v>63</v>
      </c>
      <c r="B88" s="4">
        <v>667986.96078560397</v>
      </c>
      <c r="C88" s="4">
        <v>-95975.760785604012</v>
      </c>
    </row>
    <row r="89" spans="1:3">
      <c r="A89" s="4">
        <v>64</v>
      </c>
      <c r="B89" s="4">
        <v>720398.53545400896</v>
      </c>
      <c r="C89" s="4">
        <v>41461.654545990983</v>
      </c>
    </row>
    <row r="90" spans="1:3">
      <c r="A90" s="4">
        <v>65</v>
      </c>
      <c r="B90" s="4">
        <v>709933.46156218019</v>
      </c>
      <c r="C90" s="4">
        <v>74569.218437819858</v>
      </c>
    </row>
    <row r="91" spans="1:3">
      <c r="A91" s="4">
        <v>66</v>
      </c>
      <c r="B91" s="4">
        <v>669702.33371197758</v>
      </c>
      <c r="C91" s="4">
        <v>47439.216288022464</v>
      </c>
    </row>
    <row r="92" spans="1:3">
      <c r="A92" s="4">
        <v>67</v>
      </c>
      <c r="B92" s="4">
        <v>729750.84234991227</v>
      </c>
      <c r="C92" s="4">
        <v>-44371.762349912315</v>
      </c>
    </row>
    <row r="93" spans="1:3">
      <c r="A93" s="4">
        <v>68</v>
      </c>
      <c r="B93" s="4">
        <v>650258.69339423743</v>
      </c>
      <c r="C93" s="4">
        <v>90237.956605762593</v>
      </c>
    </row>
    <row r="94" spans="1:3">
      <c r="A94" s="4">
        <v>69</v>
      </c>
      <c r="B94" s="4">
        <v>711843.54156075534</v>
      </c>
      <c r="C94" s="4">
        <v>-49916.40156075533</v>
      </c>
    </row>
    <row r="95" spans="1:3">
      <c r="A95" s="4">
        <v>70</v>
      </c>
      <c r="B95" s="4">
        <v>639174.36029289884</v>
      </c>
      <c r="C95" s="4">
        <v>-160123.86029289884</v>
      </c>
    </row>
    <row r="96" spans="1:3">
      <c r="A96" s="4">
        <v>71</v>
      </c>
      <c r="B96" s="4">
        <v>689769.5988686491</v>
      </c>
      <c r="C96" s="4">
        <v>-84745.728868649108</v>
      </c>
    </row>
    <row r="97" spans="1:3">
      <c r="A97" s="4">
        <v>72</v>
      </c>
      <c r="B97" s="4">
        <v>678076.82480046479</v>
      </c>
      <c r="C97" s="4">
        <v>-3302.7348004648229</v>
      </c>
    </row>
    <row r="98" spans="1:3">
      <c r="A98" s="4">
        <v>73</v>
      </c>
      <c r="B98" s="4">
        <v>659166.83476406534</v>
      </c>
      <c r="C98" s="4">
        <v>-43097.424764065305</v>
      </c>
    </row>
    <row r="99" spans="1:3">
      <c r="A99" s="4">
        <v>74</v>
      </c>
      <c r="B99" s="4">
        <v>675269.53342062281</v>
      </c>
      <c r="C99" s="4">
        <v>-44439.59342062287</v>
      </c>
    </row>
    <row r="100" spans="1:3">
      <c r="A100" s="4">
        <v>75</v>
      </c>
      <c r="B100" s="4">
        <v>710155.93829665345</v>
      </c>
      <c r="C100" s="4">
        <v>77931.741703346604</v>
      </c>
    </row>
    <row r="101" spans="1:3">
      <c r="A101" s="4">
        <v>76</v>
      </c>
      <c r="B101" s="4">
        <v>685889.10800246825</v>
      </c>
      <c r="C101" s="4">
        <v>-5048.7480024682591</v>
      </c>
    </row>
    <row r="102" spans="1:3">
      <c r="A102" s="4">
        <v>77</v>
      </c>
      <c r="B102" s="4">
        <v>682106.02391177125</v>
      </c>
      <c r="C102" s="4">
        <v>-38448.553911771276</v>
      </c>
    </row>
    <row r="103" spans="1:3">
      <c r="A103" s="4">
        <v>78</v>
      </c>
      <c r="B103" s="4">
        <v>677633.14907671465</v>
      </c>
      <c r="C103" s="4">
        <v>13479.450923285331</v>
      </c>
    </row>
    <row r="104" spans="1:3">
      <c r="A104" s="4">
        <v>79</v>
      </c>
      <c r="B104" s="4">
        <v>732341.91794674413</v>
      </c>
      <c r="C104" s="4">
        <v>44580.252053255914</v>
      </c>
    </row>
    <row r="105" spans="1:3">
      <c r="A105" s="4">
        <v>80</v>
      </c>
      <c r="B105" s="4">
        <v>726884.00804391084</v>
      </c>
      <c r="C105" s="4">
        <v>-90322.668043910875</v>
      </c>
    </row>
    <row r="106" spans="1:3">
      <c r="A106" s="4">
        <v>81</v>
      </c>
      <c r="B106" s="4">
        <v>690428.04226418666</v>
      </c>
      <c r="C106" s="4">
        <v>-69058.462264186703</v>
      </c>
    </row>
    <row r="107" spans="1:3">
      <c r="A107" s="4">
        <v>82</v>
      </c>
      <c r="B107" s="4">
        <v>689890.04764917761</v>
      </c>
      <c r="C107" s="4">
        <v>-7682.0376491775969</v>
      </c>
    </row>
    <row r="108" spans="1:3">
      <c r="A108" s="4">
        <v>83</v>
      </c>
      <c r="B108" s="4">
        <v>715663.78674091864</v>
      </c>
      <c r="C108" s="4">
        <v>11578.073259081342</v>
      </c>
    </row>
    <row r="109" spans="1:3">
      <c r="A109" s="4">
        <v>84</v>
      </c>
      <c r="B109" s="4">
        <v>638455.11752175866</v>
      </c>
      <c r="C109" s="4">
        <v>-69354.337521758629</v>
      </c>
    </row>
    <row r="110" spans="1:3">
      <c r="A110" s="4">
        <v>85</v>
      </c>
      <c r="B110" s="4">
        <v>678730.49794726842</v>
      </c>
      <c r="C110" s="4">
        <v>-104294.20794726838</v>
      </c>
    </row>
    <row r="111" spans="1:3">
      <c r="A111" s="4">
        <v>86</v>
      </c>
      <c r="B111" s="4">
        <v>749125.01592046651</v>
      </c>
      <c r="C111" s="4">
        <v>-137358.29592046654</v>
      </c>
    </row>
    <row r="112" spans="1:3">
      <c r="A112" s="4">
        <v>87</v>
      </c>
      <c r="B112" s="4">
        <v>727378.09081566497</v>
      </c>
      <c r="C112" s="4">
        <v>-112781.77081566502</v>
      </c>
    </row>
    <row r="113" spans="1:3">
      <c r="A113" s="4">
        <v>88</v>
      </c>
      <c r="B113" s="4">
        <v>601231.43983643828</v>
      </c>
      <c r="C113" s="4">
        <v>-150519.5198364383</v>
      </c>
    </row>
    <row r="114" spans="1:3">
      <c r="A114" s="4">
        <v>89</v>
      </c>
      <c r="B114" s="4">
        <v>668359.10407410027</v>
      </c>
      <c r="C114" s="4">
        <v>42854.355925899697</v>
      </c>
    </row>
    <row r="115" spans="1:3">
      <c r="A115" s="4">
        <v>90</v>
      </c>
      <c r="B115" s="4">
        <v>862198.05489334627</v>
      </c>
      <c r="C115" s="4">
        <v>-235026.15489334625</v>
      </c>
    </row>
    <row r="116" spans="1:3">
      <c r="A116" s="4">
        <v>91</v>
      </c>
      <c r="B116" s="4">
        <v>735649.95766911563</v>
      </c>
      <c r="C116" s="4">
        <v>4202.6223308843328</v>
      </c>
    </row>
    <row r="117" spans="1:3">
      <c r="A117" s="4">
        <v>92</v>
      </c>
      <c r="B117" s="4">
        <v>627236.08878094982</v>
      </c>
      <c r="C117" s="4">
        <v>-40928.868780949851</v>
      </c>
    </row>
    <row r="118" spans="1:3">
      <c r="A118" s="4">
        <v>93</v>
      </c>
      <c r="B118" s="4">
        <v>643759.63411374553</v>
      </c>
      <c r="C118" s="4">
        <v>-57822.15411374555</v>
      </c>
    </row>
    <row r="119" spans="1:3">
      <c r="A119" s="4">
        <v>94</v>
      </c>
      <c r="B119" s="4">
        <v>704394.41483936575</v>
      </c>
      <c r="C119" s="4">
        <v>49079.135160634294</v>
      </c>
    </row>
    <row r="120" spans="1:3">
      <c r="A120" s="4">
        <v>95</v>
      </c>
      <c r="B120" s="4">
        <v>744819.24886136584</v>
      </c>
      <c r="C120" s="4">
        <v>93431.071138634114</v>
      </c>
    </row>
    <row r="121" spans="1:3">
      <c r="A121" s="4">
        <v>96</v>
      </c>
      <c r="B121" s="4">
        <v>581082.10084664135</v>
      </c>
      <c r="C121" s="4">
        <v>26816.019153358648</v>
      </c>
    </row>
    <row r="122" spans="1:3">
      <c r="A122" s="4">
        <v>97</v>
      </c>
      <c r="B122" s="4">
        <v>690962.69344593131</v>
      </c>
      <c r="C122" s="4">
        <v>150.92655406869017</v>
      </c>
    </row>
    <row r="123" spans="1:3">
      <c r="A123" s="4">
        <v>98</v>
      </c>
      <c r="B123" s="4">
        <v>728671.76523566921</v>
      </c>
      <c r="C123" s="4">
        <v>6837.6347643308109</v>
      </c>
    </row>
    <row r="124" spans="1:3">
      <c r="A124" s="4">
        <v>99</v>
      </c>
      <c r="B124" s="4">
        <v>643304.35220446019</v>
      </c>
      <c r="C124" s="4">
        <v>-37529.022204460227</v>
      </c>
    </row>
    <row r="125" spans="1:3">
      <c r="A125" s="4">
        <v>100</v>
      </c>
      <c r="B125" s="4">
        <v>678119.2885324969</v>
      </c>
      <c r="C125" s="4">
        <v>-2941.6085324968444</v>
      </c>
    </row>
    <row r="126" spans="1:3">
      <c r="A126" s="4">
        <v>101</v>
      </c>
      <c r="B126" s="4">
        <v>673825.3406164645</v>
      </c>
      <c r="C126" s="4">
        <v>-38643.990616464522</v>
      </c>
    </row>
    <row r="127" spans="1:3">
      <c r="A127" s="4">
        <v>102</v>
      </c>
      <c r="B127" s="4">
        <v>695156.93464512611</v>
      </c>
      <c r="C127" s="4">
        <v>-108529.99464512616</v>
      </c>
    </row>
    <row r="128" spans="1:3">
      <c r="A128" s="4">
        <v>103</v>
      </c>
      <c r="B128" s="4">
        <v>752618.8610901701</v>
      </c>
      <c r="C128" s="4">
        <v>-12516.221090170089</v>
      </c>
    </row>
    <row r="129" spans="1:3">
      <c r="A129" s="4">
        <v>104</v>
      </c>
      <c r="B129" s="4">
        <v>629491.58589766012</v>
      </c>
      <c r="C129" s="4">
        <v>-3977.5458976600785</v>
      </c>
    </row>
    <row r="130" spans="1:3">
      <c r="A130" s="4">
        <v>105</v>
      </c>
      <c r="B130" s="4">
        <v>684120.36791838519</v>
      </c>
      <c r="C130" s="4">
        <v>43106.832081614761</v>
      </c>
    </row>
    <row r="131" spans="1:3">
      <c r="A131" s="4">
        <v>106</v>
      </c>
      <c r="B131" s="4">
        <v>719812.6466898825</v>
      </c>
      <c r="C131" s="4">
        <v>63985.243310117512</v>
      </c>
    </row>
    <row r="132" spans="1:3">
      <c r="A132" s="4">
        <v>107</v>
      </c>
      <c r="B132" s="4">
        <v>697696.75136382284</v>
      </c>
      <c r="C132" s="4">
        <v>97457.088636177126</v>
      </c>
    </row>
    <row r="133" spans="1:3">
      <c r="A133" s="4">
        <v>108</v>
      </c>
      <c r="B133" s="4">
        <v>626883.68665574025</v>
      </c>
      <c r="C133" s="4">
        <v>38711.25334425969</v>
      </c>
    </row>
    <row r="134" spans="1:3">
      <c r="A134" s="4">
        <v>109</v>
      </c>
      <c r="B134" s="4">
        <v>721059.87507199205</v>
      </c>
      <c r="C134" s="4">
        <v>-11581.485071992036</v>
      </c>
    </row>
    <row r="135" spans="1:3">
      <c r="A135" s="4">
        <v>110</v>
      </c>
      <c r="B135" s="4">
        <v>708594.78921550396</v>
      </c>
      <c r="C135" s="4">
        <v>-44432.299215503968</v>
      </c>
    </row>
    <row r="136" spans="1:3">
      <c r="A136" s="4">
        <v>111</v>
      </c>
      <c r="B136" s="4">
        <v>669505.26281116251</v>
      </c>
      <c r="C136" s="4">
        <v>-36011.052811162546</v>
      </c>
    </row>
    <row r="137" spans="1:3">
      <c r="A137" s="4">
        <v>112</v>
      </c>
      <c r="B137" s="4">
        <v>673129.50187817449</v>
      </c>
      <c r="C137" s="4">
        <v>40481.658121825545</v>
      </c>
    </row>
    <row r="138" spans="1:3">
      <c r="A138" s="4">
        <v>113</v>
      </c>
      <c r="B138" s="4">
        <v>691588.72470498295</v>
      </c>
      <c r="C138" s="4">
        <v>86809.245295017026</v>
      </c>
    </row>
    <row r="139" spans="1:3">
      <c r="A139" s="4">
        <v>114</v>
      </c>
      <c r="B139" s="4">
        <v>731518.90096989041</v>
      </c>
      <c r="C139" s="4">
        <v>141861.11903010961</v>
      </c>
    </row>
    <row r="140" spans="1:3">
      <c r="A140" s="4">
        <v>115</v>
      </c>
      <c r="B140" s="4">
        <v>632342.10765665222</v>
      </c>
      <c r="C140" s="4">
        <v>64945.792343347799</v>
      </c>
    </row>
    <row r="141" spans="1:3">
      <c r="A141" s="4">
        <v>116</v>
      </c>
      <c r="B141" s="4">
        <v>616126.15818417352</v>
      </c>
      <c r="C141" s="4">
        <v>101948.63181582652</v>
      </c>
    </row>
    <row r="142" spans="1:3">
      <c r="A142" s="4">
        <v>117</v>
      </c>
      <c r="B142" s="4">
        <v>653808.1417757445</v>
      </c>
      <c r="C142" s="4">
        <v>61134.28822425555</v>
      </c>
    </row>
    <row r="143" spans="1:3">
      <c r="A143" s="4">
        <v>118</v>
      </c>
      <c r="B143" s="4">
        <v>682929.80753574288</v>
      </c>
      <c r="C143" s="4">
        <v>137589.23246425716</v>
      </c>
    </row>
    <row r="144" spans="1:3">
      <c r="A144" s="4">
        <v>119</v>
      </c>
      <c r="B144" s="4">
        <v>651104.2838695636</v>
      </c>
      <c r="C144" s="4">
        <v>33113.036130436347</v>
      </c>
    </row>
    <row r="145" spans="1:3">
      <c r="A145" s="4">
        <v>120</v>
      </c>
      <c r="B145" s="4">
        <v>677837.92904021579</v>
      </c>
      <c r="C145" s="4">
        <v>57642.260959784151</v>
      </c>
    </row>
    <row r="146" spans="1:3">
      <c r="A146" s="4">
        <v>121</v>
      </c>
      <c r="B146" s="4">
        <v>654257.46087411267</v>
      </c>
      <c r="C146" s="4">
        <v>-144772.65087411267</v>
      </c>
    </row>
    <row r="147" spans="1:3">
      <c r="A147" s="4">
        <v>122</v>
      </c>
      <c r="B147" s="4">
        <v>737626.1609816124</v>
      </c>
      <c r="C147" s="4">
        <v>-83309.070981612429</v>
      </c>
    </row>
    <row r="148" spans="1:3">
      <c r="A148" s="4">
        <v>123</v>
      </c>
      <c r="B148" s="4">
        <v>663840.54984826688</v>
      </c>
      <c r="C148" s="4">
        <v>-106353.28984826687</v>
      </c>
    </row>
    <row r="149" spans="1:3">
      <c r="A149" s="4">
        <v>124</v>
      </c>
      <c r="B149" s="4">
        <v>601374.46211543912</v>
      </c>
      <c r="C149" s="4">
        <v>-160099.04211543914</v>
      </c>
    </row>
    <row r="150" spans="1:3">
      <c r="A150" s="4">
        <v>125</v>
      </c>
      <c r="B150" s="4">
        <v>691833.9878954615</v>
      </c>
      <c r="C150" s="4">
        <v>222710.18210453854</v>
      </c>
    </row>
    <row r="151" spans="1:3">
      <c r="A151" s="4">
        <v>126</v>
      </c>
      <c r="B151" s="4">
        <v>656069.45263309905</v>
      </c>
      <c r="C151" s="4">
        <v>186370.21736690099</v>
      </c>
    </row>
    <row r="152" spans="1:3">
      <c r="A152" s="4">
        <v>127</v>
      </c>
      <c r="B152" s="4">
        <v>681136.47085662617</v>
      </c>
      <c r="C152" s="4">
        <v>161021.44914337387</v>
      </c>
    </row>
    <row r="153" spans="1:3">
      <c r="A153" s="4">
        <v>128</v>
      </c>
      <c r="B153" s="4">
        <v>641335.98572916887</v>
      </c>
      <c r="C153" s="4">
        <v>55819.314270831179</v>
      </c>
    </row>
    <row r="154" spans="1:3">
      <c r="A154" s="4">
        <v>129</v>
      </c>
      <c r="B154" s="4">
        <v>701862.83957718674</v>
      </c>
      <c r="C154" s="4">
        <v>147155.46042281331</v>
      </c>
    </row>
    <row r="155" spans="1:3">
      <c r="A155" s="4">
        <v>130</v>
      </c>
      <c r="B155" s="4">
        <v>706463.57411491184</v>
      </c>
      <c r="C155" s="4">
        <v>95366.775885088136</v>
      </c>
    </row>
    <row r="156" spans="1:3">
      <c r="A156" s="4">
        <v>131</v>
      </c>
      <c r="B156" s="4">
        <v>668822.69132716337</v>
      </c>
      <c r="C156" s="4">
        <v>56412.58867283666</v>
      </c>
    </row>
    <row r="157" spans="1:3">
      <c r="A157" s="4">
        <v>132</v>
      </c>
      <c r="B157" s="4">
        <v>702299.9775046811</v>
      </c>
      <c r="C157" s="4">
        <v>109152.74249531887</v>
      </c>
    </row>
    <row r="158" spans="1:3">
      <c r="A158" s="4">
        <v>133</v>
      </c>
      <c r="B158" s="4">
        <v>710435.97745223157</v>
      </c>
      <c r="C158" s="4">
        <v>-183135.84745223157</v>
      </c>
    </row>
    <row r="159" spans="1:3">
      <c r="A159" s="4">
        <v>134</v>
      </c>
      <c r="B159" s="4">
        <v>607780.56543288182</v>
      </c>
      <c r="C159" s="4">
        <v>-206948.9154328818</v>
      </c>
    </row>
    <row r="160" spans="1:3">
      <c r="A160" s="4">
        <v>135</v>
      </c>
      <c r="B160" s="4">
        <v>672123.14976136864</v>
      </c>
      <c r="C160" s="4">
        <v>-78875.899761368637</v>
      </c>
    </row>
    <row r="161" spans="1:3">
      <c r="A161" s="4">
        <v>136</v>
      </c>
      <c r="B161" s="4">
        <v>710628.66142787179</v>
      </c>
      <c r="C161" s="4">
        <v>-181552.71142787184</v>
      </c>
    </row>
    <row r="162" spans="1:3">
      <c r="A162" s="4">
        <v>137</v>
      </c>
      <c r="B162" s="4">
        <v>712660.06333285978</v>
      </c>
      <c r="C162" s="4">
        <v>-79022.033332859748</v>
      </c>
    </row>
    <row r="163" spans="1:3">
      <c r="A163" s="4">
        <v>138</v>
      </c>
      <c r="B163" s="4">
        <v>720729.04554485087</v>
      </c>
      <c r="C163" s="4">
        <v>22619.794455149095</v>
      </c>
    </row>
    <row r="164" spans="1:3">
      <c r="A164" s="4">
        <v>139</v>
      </c>
      <c r="B164" s="4">
        <v>709376.9822333277</v>
      </c>
      <c r="C164" s="4">
        <v>49450.657766672317</v>
      </c>
    </row>
    <row r="165" spans="1:3">
      <c r="A165" s="4">
        <v>140</v>
      </c>
      <c r="B165" s="4">
        <v>654930.02335407212</v>
      </c>
      <c r="C165" s="4">
        <v>-8370.313354072161</v>
      </c>
    </row>
    <row r="166" spans="1:3">
      <c r="A166" s="4">
        <v>141</v>
      </c>
      <c r="B166" s="4">
        <v>670302.0647157334</v>
      </c>
      <c r="C166" s="4">
        <v>45588.465284266626</v>
      </c>
    </row>
    <row r="167" spans="1:3">
      <c r="A167" s="4">
        <v>142</v>
      </c>
      <c r="B167" s="4">
        <v>658112.75886416819</v>
      </c>
      <c r="C167" s="4">
        <v>56984.811135831755</v>
      </c>
    </row>
    <row r="168" spans="1:3">
      <c r="A168" s="4">
        <v>143</v>
      </c>
      <c r="B168" s="4">
        <v>654552.3431697241</v>
      </c>
      <c r="C168" s="4">
        <v>28086.936830275925</v>
      </c>
    </row>
    <row r="169" spans="1:3">
      <c r="A169" s="4">
        <v>144</v>
      </c>
      <c r="B169" s="4">
        <v>667678.02329283056</v>
      </c>
      <c r="C169" s="4">
        <v>27420.486707169446</v>
      </c>
    </row>
    <row r="170" spans="1:3">
      <c r="A170" s="4">
        <v>145</v>
      </c>
      <c r="B170" s="4">
        <v>710887.27705565433</v>
      </c>
      <c r="C170" s="4">
        <v>-133154.70705565438</v>
      </c>
    </row>
    <row r="171" spans="1:3">
      <c r="A171" s="4">
        <v>146</v>
      </c>
      <c r="B171" s="4">
        <v>669192.47078704601</v>
      </c>
      <c r="C171" s="4">
        <v>-132134.14078704605</v>
      </c>
    </row>
    <row r="172" spans="1:3">
      <c r="A172" s="4">
        <v>147</v>
      </c>
      <c r="B172" s="4">
        <v>674393.80945441127</v>
      </c>
      <c r="C172" s="4">
        <v>-72824.939454411273</v>
      </c>
    </row>
    <row r="173" spans="1:3">
      <c r="A173" s="4">
        <v>148</v>
      </c>
      <c r="B173" s="4">
        <v>689238.44019044167</v>
      </c>
      <c r="C173" s="4">
        <v>-118273.60019044171</v>
      </c>
    </row>
    <row r="174" spans="1:3">
      <c r="A174" s="4">
        <v>149</v>
      </c>
      <c r="B174" s="4">
        <v>670611.64108110522</v>
      </c>
      <c r="C174" s="4">
        <v>-56586.731081105187</v>
      </c>
    </row>
    <row r="175" spans="1:3">
      <c r="A175" s="4">
        <v>150</v>
      </c>
      <c r="B175" s="4">
        <v>653030.42086610873</v>
      </c>
      <c r="C175" s="4">
        <v>59837.929133891244</v>
      </c>
    </row>
    <row r="176" spans="1:3">
      <c r="A176" s="4">
        <v>151</v>
      </c>
      <c r="B176" s="4">
        <v>661066.60761805496</v>
      </c>
      <c r="C176" s="4">
        <v>35677.542381945066</v>
      </c>
    </row>
    <row r="177" spans="1:3">
      <c r="A177" s="4">
        <v>152</v>
      </c>
      <c r="B177" s="4">
        <v>713798.17227518361</v>
      </c>
      <c r="C177" s="4">
        <v>12049.817724816385</v>
      </c>
    </row>
    <row r="178" spans="1:3">
      <c r="A178" s="4">
        <v>153</v>
      </c>
      <c r="B178" s="4">
        <v>721869.56090729497</v>
      </c>
      <c r="C178" s="4">
        <v>63158.689092705026</v>
      </c>
    </row>
    <row r="179" spans="1:3">
      <c r="A179" s="4">
        <v>154</v>
      </c>
      <c r="B179" s="4">
        <v>697868.22476920031</v>
      </c>
      <c r="C179" s="4">
        <v>624.44523079972714</v>
      </c>
    </row>
    <row r="180" spans="1:3">
      <c r="A180" s="4">
        <v>155</v>
      </c>
      <c r="B180" s="4">
        <v>691605.33539253811</v>
      </c>
      <c r="C180" s="4">
        <v>-5775.0953925381182</v>
      </c>
    </row>
    <row r="181" spans="1:3">
      <c r="A181" s="4">
        <v>156</v>
      </c>
      <c r="B181" s="4">
        <v>651706.25092741335</v>
      </c>
      <c r="C181" s="4">
        <v>50612.689072586596</v>
      </c>
    </row>
    <row r="182" spans="1:3">
      <c r="A182" s="4">
        <v>157</v>
      </c>
      <c r="B182" s="4">
        <v>745801.89880477567</v>
      </c>
      <c r="C182" s="4">
        <v>-45723.578804775723</v>
      </c>
    </row>
    <row r="183" spans="1:3">
      <c r="A183" s="4">
        <v>158</v>
      </c>
      <c r="B183" s="4">
        <v>649927.92775435618</v>
      </c>
      <c r="C183" s="4">
        <v>-47925.607754356228</v>
      </c>
    </row>
    <row r="184" spans="1:3">
      <c r="A184" s="4">
        <v>159</v>
      </c>
      <c r="B184" s="4">
        <v>681988.85467724735</v>
      </c>
      <c r="C184" s="4">
        <v>42227.2153227526</v>
      </c>
    </row>
    <row r="185" spans="1:3">
      <c r="A185" s="4">
        <v>160</v>
      </c>
      <c r="B185" s="4">
        <v>610299.70397514757</v>
      </c>
      <c r="C185" s="4">
        <v>10673.32602485246</v>
      </c>
    </row>
    <row r="186" spans="1:3">
      <c r="A186" s="4">
        <v>161</v>
      </c>
      <c r="B186" s="4">
        <v>649034.20887662657</v>
      </c>
      <c r="C186" s="4">
        <v>1445.8511233734898</v>
      </c>
    </row>
    <row r="187" spans="1:3">
      <c r="A187" s="4">
        <v>162</v>
      </c>
      <c r="B187" s="4">
        <v>663931.52530626161</v>
      </c>
      <c r="C187" s="4">
        <v>114367.35469373839</v>
      </c>
    </row>
    <row r="188" spans="1:3">
      <c r="A188" s="4">
        <v>163</v>
      </c>
      <c r="B188" s="4">
        <v>682468.30726650089</v>
      </c>
      <c r="C188" s="4">
        <v>-5371.5972665009322</v>
      </c>
    </row>
    <row r="189" spans="1:3">
      <c r="A189" s="4">
        <v>164</v>
      </c>
      <c r="B189" s="4">
        <v>703183.36794207199</v>
      </c>
      <c r="C189" s="4">
        <v>-11174.727942071971</v>
      </c>
    </row>
    <row r="190" spans="1:3">
      <c r="A190" s="4">
        <v>165</v>
      </c>
      <c r="B190" s="4">
        <v>714427.33400996681</v>
      </c>
      <c r="C190" s="4">
        <v>111370.57599003322</v>
      </c>
    </row>
    <row r="191" spans="1:3">
      <c r="A191" s="4">
        <v>166</v>
      </c>
      <c r="B191" s="4">
        <v>635958.38211193902</v>
      </c>
      <c r="C191" s="4">
        <v>70327.137888060999</v>
      </c>
    </row>
    <row r="192" spans="1:3">
      <c r="A192" s="4">
        <v>167</v>
      </c>
      <c r="B192" s="4">
        <v>625307.43888551812</v>
      </c>
      <c r="C192" s="4">
        <v>40227.261114481837</v>
      </c>
    </row>
    <row r="193" spans="1:3">
      <c r="A193" s="4">
        <v>168</v>
      </c>
      <c r="B193" s="4">
        <v>727804.49568350834</v>
      </c>
      <c r="C193" s="4">
        <v>92924.794316491694</v>
      </c>
    </row>
    <row r="194" spans="1:3">
      <c r="A194" s="4">
        <v>169</v>
      </c>
      <c r="B194" s="4">
        <v>692937.04402789311</v>
      </c>
      <c r="C194" s="4">
        <v>46894.685972106876</v>
      </c>
    </row>
    <row r="195" spans="1:3">
      <c r="A195" s="4">
        <v>170</v>
      </c>
      <c r="B195" s="4">
        <v>630700.84395167872</v>
      </c>
      <c r="C195" s="4">
        <v>-37063.703951678704</v>
      </c>
    </row>
    <row r="196" spans="1:3">
      <c r="A196" s="4">
        <v>171</v>
      </c>
      <c r="B196" s="4">
        <v>669013.18184021628</v>
      </c>
      <c r="C196" s="4">
        <v>100689.57815978373</v>
      </c>
    </row>
    <row r="197" spans="1:3">
      <c r="A197" s="4">
        <v>172</v>
      </c>
      <c r="B197" s="4">
        <v>638733.66597460734</v>
      </c>
      <c r="C197" s="4">
        <v>40997.904025392607</v>
      </c>
    </row>
    <row r="198" spans="1:3">
      <c r="A198" s="4">
        <v>173</v>
      </c>
      <c r="B198" s="4">
        <v>699706.13345992344</v>
      </c>
      <c r="C198" s="4">
        <v>80638.046540076612</v>
      </c>
    </row>
    <row r="199" spans="1:3">
      <c r="A199" s="4">
        <v>174</v>
      </c>
      <c r="B199" s="4">
        <v>653724.74760591611</v>
      </c>
      <c r="C199" s="4">
        <v>67639.362394083873</v>
      </c>
    </row>
    <row r="200" spans="1:3">
      <c r="A200" s="4">
        <v>175</v>
      </c>
      <c r="B200" s="4">
        <v>705673.9701749481</v>
      </c>
      <c r="C200" s="4">
        <v>52464.319825051934</v>
      </c>
    </row>
    <row r="201" spans="1:3">
      <c r="A201" s="4">
        <v>176</v>
      </c>
      <c r="B201" s="4">
        <v>695034.16462749057</v>
      </c>
      <c r="C201" s="4">
        <v>109229.83537250943</v>
      </c>
    </row>
    <row r="202" spans="1:3">
      <c r="A202" s="4">
        <v>177</v>
      </c>
      <c r="B202" s="4">
        <v>704511.09427156439</v>
      </c>
      <c r="C202" s="4">
        <v>183026.65572843561</v>
      </c>
    </row>
    <row r="203" spans="1:3">
      <c r="A203" s="4">
        <v>178</v>
      </c>
      <c r="B203" s="4">
        <v>623364.11621607933</v>
      </c>
      <c r="C203" s="4">
        <v>160217.88378392067</v>
      </c>
    </row>
    <row r="204" spans="1:3">
      <c r="A204" s="4">
        <v>179</v>
      </c>
      <c r="B204" s="4">
        <v>647099.87301507022</v>
      </c>
      <c r="C204" s="4">
        <v>134855.6469849298</v>
      </c>
    </row>
    <row r="205" spans="1:3">
      <c r="A205" s="4">
        <v>180</v>
      </c>
      <c r="B205" s="4">
        <v>720243.26811687439</v>
      </c>
      <c r="C205" s="4">
        <v>177787.77188312565</v>
      </c>
    </row>
    <row r="206" spans="1:3">
      <c r="A206" s="4">
        <v>181</v>
      </c>
      <c r="B206" s="4">
        <v>706634.32346467802</v>
      </c>
      <c r="C206" s="4">
        <v>148706.95653532201</v>
      </c>
    </row>
    <row r="207" spans="1:3">
      <c r="A207" s="4">
        <v>182</v>
      </c>
      <c r="B207" s="4">
        <v>657053.84882827743</v>
      </c>
      <c r="C207" s="4">
        <v>94340.03117172257</v>
      </c>
    </row>
    <row r="208" spans="1:3">
      <c r="A208" s="4">
        <v>183</v>
      </c>
      <c r="B208" s="4">
        <v>694962.37664319749</v>
      </c>
      <c r="C208" s="4">
        <v>66114.703356802464</v>
      </c>
    </row>
    <row r="209" spans="1:3">
      <c r="A209" s="4">
        <v>184</v>
      </c>
      <c r="B209" s="4">
        <v>684183.85055890062</v>
      </c>
      <c r="C209" s="4">
        <v>135476.73944109934</v>
      </c>
    </row>
    <row r="210" spans="1:3">
      <c r="A210" s="4">
        <v>185</v>
      </c>
      <c r="B210" s="4">
        <v>713982.44442828</v>
      </c>
      <c r="C210" s="4">
        <v>-32126.88442827994</v>
      </c>
    </row>
    <row r="211" spans="1:3">
      <c r="A211" s="4">
        <v>186</v>
      </c>
      <c r="B211" s="4">
        <v>682478.06072150124</v>
      </c>
      <c r="C211" s="4">
        <v>-4166.8907215012005</v>
      </c>
    </row>
    <row r="212" spans="1:3">
      <c r="A212" s="4">
        <v>187</v>
      </c>
      <c r="B212" s="4">
        <v>663064.55389464647</v>
      </c>
      <c r="C212" s="4">
        <v>102842.39610535349</v>
      </c>
    </row>
    <row r="213" spans="1:3">
      <c r="A213" s="4">
        <v>188</v>
      </c>
      <c r="B213" s="4">
        <v>715778.05975299713</v>
      </c>
      <c r="C213" s="4">
        <v>-3231.6797529971227</v>
      </c>
    </row>
    <row r="214" spans="1:3">
      <c r="A214" s="4">
        <v>189</v>
      </c>
      <c r="B214" s="4">
        <v>713344.16811109474</v>
      </c>
      <c r="C214" s="4">
        <v>-87350.338111094781</v>
      </c>
    </row>
    <row r="215" spans="1:3">
      <c r="A215" s="4">
        <v>190</v>
      </c>
      <c r="B215" s="4">
        <v>679583.39286596817</v>
      </c>
      <c r="C215" s="4">
        <v>-128620.46286596812</v>
      </c>
    </row>
    <row r="216" spans="1:3">
      <c r="A216" s="4">
        <v>191</v>
      </c>
      <c r="B216" s="4">
        <v>641074.85720249976</v>
      </c>
      <c r="C216" s="4">
        <v>-197799.26720249973</v>
      </c>
    </row>
    <row r="217" spans="1:3">
      <c r="A217" s="4">
        <v>192</v>
      </c>
      <c r="B217" s="4">
        <v>677831.9662292985</v>
      </c>
      <c r="C217" s="4">
        <v>-123819.89622929855</v>
      </c>
    </row>
    <row r="218" spans="1:3">
      <c r="A218" s="4">
        <v>193</v>
      </c>
      <c r="B218" s="4">
        <v>734969.66483071703</v>
      </c>
      <c r="C218" s="4">
        <v>-91540.814830717049</v>
      </c>
    </row>
    <row r="219" spans="1:3">
      <c r="A219" s="4">
        <v>194</v>
      </c>
      <c r="B219" s="4">
        <v>669669.83639247855</v>
      </c>
      <c r="C219" s="4">
        <v>-57745.566392478533</v>
      </c>
    </row>
    <row r="220" spans="1:3">
      <c r="A220" s="4">
        <v>195</v>
      </c>
      <c r="B220" s="4">
        <v>646429.24844865885</v>
      </c>
      <c r="C220" s="4">
        <v>-87007.228448658832</v>
      </c>
    </row>
    <row r="221" spans="1:3">
      <c r="A221" s="4">
        <v>196</v>
      </c>
      <c r="B221" s="4">
        <v>649490.42779905617</v>
      </c>
      <c r="C221" s="4">
        <v>-200025.36779905617</v>
      </c>
    </row>
    <row r="222" spans="1:3">
      <c r="A222" s="4">
        <v>197</v>
      </c>
      <c r="B222" s="4">
        <v>713790.42062099115</v>
      </c>
      <c r="C222" s="4">
        <v>-22342.990620991099</v>
      </c>
    </row>
    <row r="223" spans="1:3">
      <c r="A223" s="4">
        <v>198</v>
      </c>
      <c r="B223" s="4">
        <v>675780.43983746483</v>
      </c>
      <c r="C223" s="4">
        <v>-101713.82983746484</v>
      </c>
    </row>
    <row r="224" spans="1:3">
      <c r="A224" s="4">
        <v>199</v>
      </c>
      <c r="B224" s="4">
        <v>676795.18248106143</v>
      </c>
      <c r="C224" s="4">
        <v>-97845.342481061467</v>
      </c>
    </row>
    <row r="225" spans="1:3">
      <c r="A225" s="4">
        <v>200</v>
      </c>
      <c r="B225" s="4">
        <v>691515.80804576632</v>
      </c>
      <c r="C225" s="4">
        <v>44270.831954233698</v>
      </c>
    </row>
    <row r="226" spans="1:3">
      <c r="A226" s="4">
        <v>201</v>
      </c>
      <c r="B226" s="4">
        <v>608294.41066367598</v>
      </c>
      <c r="C226" s="4">
        <v>-9389.5106636759592</v>
      </c>
    </row>
    <row r="227" spans="1:3">
      <c r="A227" s="4">
        <v>202</v>
      </c>
      <c r="B227" s="4">
        <v>727122.6695508738</v>
      </c>
      <c r="C227" s="4">
        <v>60592.840449126204</v>
      </c>
    </row>
    <row r="228" spans="1:3">
      <c r="A228" s="4">
        <v>203</v>
      </c>
      <c r="B228" s="4">
        <v>635745.27550890716</v>
      </c>
      <c r="C228" s="4">
        <v>-28660.355508907116</v>
      </c>
    </row>
    <row r="229" spans="1:3">
      <c r="A229" s="4">
        <v>204</v>
      </c>
      <c r="B229" s="4">
        <v>697292.23853034712</v>
      </c>
      <c r="C229" s="4">
        <v>-46496.748530347133</v>
      </c>
    </row>
    <row r="230" spans="1:3">
      <c r="A230" s="4">
        <v>205</v>
      </c>
      <c r="B230" s="4">
        <v>756890.23550773016</v>
      </c>
      <c r="C230" s="4">
        <v>68170.284492269857</v>
      </c>
    </row>
    <row r="231" spans="1:3">
      <c r="A231" s="4">
        <v>206</v>
      </c>
      <c r="B231" s="4">
        <v>676415.13846809976</v>
      </c>
      <c r="C231" s="4">
        <v>119049.33153190021</v>
      </c>
    </row>
    <row r="232" spans="1:3">
      <c r="A232" s="4">
        <v>207</v>
      </c>
      <c r="B232" s="4">
        <v>641665.75046864618</v>
      </c>
      <c r="C232" s="4">
        <v>30202.839531353791</v>
      </c>
    </row>
    <row r="233" spans="1:3">
      <c r="A233" s="4">
        <v>208</v>
      </c>
      <c r="B233" s="4">
        <v>680914.84595228394</v>
      </c>
      <c r="C233" s="4">
        <v>-4997.2159522839356</v>
      </c>
    </row>
    <row r="234" spans="1:3">
      <c r="A234" s="4">
        <v>209</v>
      </c>
      <c r="B234" s="4">
        <v>695914.21163161704</v>
      </c>
      <c r="C234" s="4">
        <v>114532.31836838298</v>
      </c>
    </row>
    <row r="235" spans="1:3">
      <c r="A235" s="4">
        <v>210</v>
      </c>
      <c r="B235" s="4">
        <v>694833.47344861843</v>
      </c>
      <c r="C235" s="4">
        <v>-3545.2834486184875</v>
      </c>
    </row>
    <row r="236" spans="1:3">
      <c r="A236" s="4">
        <v>211</v>
      </c>
      <c r="B236" s="4">
        <v>790707.99818862299</v>
      </c>
      <c r="C236" s="4">
        <v>156125.54181137704</v>
      </c>
    </row>
    <row r="237" spans="1:3">
      <c r="A237" s="4">
        <v>212</v>
      </c>
      <c r="B237" s="4">
        <v>665990.6116905082</v>
      </c>
      <c r="C237" s="4">
        <v>95972.61830949178</v>
      </c>
    </row>
    <row r="238" spans="1:3">
      <c r="A238" s="4">
        <v>213</v>
      </c>
      <c r="B238" s="4">
        <v>669146.02474915131</v>
      </c>
      <c r="C238" s="4">
        <v>143006.57525084866</v>
      </c>
    </row>
    <row r="239" spans="1:3">
      <c r="A239" s="4">
        <v>214</v>
      </c>
      <c r="B239" s="4">
        <v>649835.01438281348</v>
      </c>
      <c r="C239" s="4">
        <v>155140.48561718652</v>
      </c>
    </row>
    <row r="240" spans="1:3">
      <c r="A240" s="4">
        <v>215</v>
      </c>
      <c r="B240" s="4">
        <v>635943.98618272447</v>
      </c>
      <c r="C240" s="4">
        <v>116377.7338172755</v>
      </c>
    </row>
    <row r="241" spans="1:3">
      <c r="A241" s="4">
        <v>216</v>
      </c>
      <c r="B241" s="4">
        <v>661700.24146102602</v>
      </c>
      <c r="C241" s="4">
        <v>175207.99853897397</v>
      </c>
    </row>
    <row r="242" spans="1:3">
      <c r="A242" s="4">
        <v>217</v>
      </c>
      <c r="B242" s="4">
        <v>708102.51658277819</v>
      </c>
      <c r="C242" s="4">
        <v>-33813.416582778213</v>
      </c>
    </row>
    <row r="243" spans="1:3">
      <c r="A243" s="4">
        <v>218</v>
      </c>
      <c r="B243" s="4">
        <v>633155.92486809066</v>
      </c>
      <c r="C243" s="4">
        <v>-10263.504868090618</v>
      </c>
    </row>
    <row r="244" spans="1:3">
      <c r="A244" s="4">
        <v>219</v>
      </c>
      <c r="B244" s="4">
        <v>685965.13384166313</v>
      </c>
      <c r="C244" s="4">
        <v>-12616.573841663077</v>
      </c>
    </row>
    <row r="245" spans="1:3">
      <c r="A245" s="4">
        <v>220</v>
      </c>
      <c r="B245" s="4">
        <v>595812.79930264573</v>
      </c>
      <c r="C245" s="4">
        <v>10465.50069735432</v>
      </c>
    </row>
    <row r="246" spans="1:3">
      <c r="A246" s="4">
        <v>221</v>
      </c>
      <c r="B246" s="4">
        <v>674427.94654691254</v>
      </c>
      <c r="C246" s="4">
        <v>37791.863453087513</v>
      </c>
    </row>
    <row r="247" spans="1:3">
      <c r="A247" s="4">
        <v>222</v>
      </c>
      <c r="B247" s="4">
        <v>618690.37983612448</v>
      </c>
      <c r="C247" s="4">
        <v>53980.160163875553</v>
      </c>
    </row>
    <row r="248" spans="1:3">
      <c r="A248" s="4">
        <v>223</v>
      </c>
      <c r="B248" s="4">
        <v>703379.54442124953</v>
      </c>
      <c r="C248" s="4">
        <v>29288.375578750507</v>
      </c>
    </row>
    <row r="249" spans="1:3">
      <c r="A249" s="4">
        <v>224</v>
      </c>
      <c r="B249" s="4">
        <v>717388.42331996735</v>
      </c>
      <c r="C249" s="4">
        <v>6142.9766800326761</v>
      </c>
    </row>
    <row r="250" spans="1:3">
      <c r="A250" s="4">
        <v>225</v>
      </c>
      <c r="B250" s="4">
        <v>706040.55527183937</v>
      </c>
      <c r="C250" s="4">
        <v>-64475.955271839397</v>
      </c>
    </row>
    <row r="251" spans="1:3">
      <c r="A251" s="4">
        <v>226</v>
      </c>
      <c r="B251" s="4">
        <v>682644.38055458595</v>
      </c>
      <c r="C251" s="4">
        <v>-146098.89055458596</v>
      </c>
    </row>
    <row r="252" spans="1:3">
      <c r="A252" s="4">
        <v>227</v>
      </c>
      <c r="B252" s="4">
        <v>652204.31600503006</v>
      </c>
      <c r="C252" s="4">
        <v>-124522.75600503001</v>
      </c>
    </row>
    <row r="253" spans="1:3">
      <c r="A253" s="4">
        <v>228</v>
      </c>
      <c r="B253" s="4">
        <v>644557.92672104586</v>
      </c>
      <c r="C253" s="4">
        <v>-114958.98672104592</v>
      </c>
    </row>
    <row r="254" spans="1:3">
      <c r="A254" s="4">
        <v>229</v>
      </c>
      <c r="B254" s="4">
        <v>640262.10477872519</v>
      </c>
      <c r="C254" s="4">
        <v>-69298.794778725132</v>
      </c>
    </row>
    <row r="255" spans="1:3">
      <c r="A255" s="4">
        <v>230</v>
      </c>
      <c r="B255" s="4">
        <v>802986.72490819369</v>
      </c>
      <c r="C255" s="4">
        <v>67950.675091806334</v>
      </c>
    </row>
    <row r="256" spans="1:3">
      <c r="A256" s="4">
        <v>231</v>
      </c>
      <c r="B256" s="4">
        <v>631423.77088813565</v>
      </c>
      <c r="C256" s="4">
        <v>-34454.500888135633</v>
      </c>
    </row>
    <row r="257" spans="1:3">
      <c r="A257" s="4">
        <v>232</v>
      </c>
      <c r="B257" s="4">
        <v>615758.89162317745</v>
      </c>
      <c r="C257" s="4">
        <v>31753.958376822527</v>
      </c>
    </row>
    <row r="258" spans="1:3">
      <c r="A258" s="4">
        <v>233</v>
      </c>
      <c r="B258" s="4">
        <v>661382.57270940952</v>
      </c>
      <c r="C258" s="4">
        <v>-3310.4327094095061</v>
      </c>
    </row>
    <row r="259" spans="1:3">
      <c r="A259" s="4">
        <v>234</v>
      </c>
      <c r="B259" s="4">
        <v>692067.34675985877</v>
      </c>
      <c r="C259" s="4">
        <v>31237.763240141212</v>
      </c>
    </row>
    <row r="260" spans="1:3">
      <c r="A260" s="4">
        <v>235</v>
      </c>
      <c r="B260" s="4">
        <v>694051.9405991463</v>
      </c>
      <c r="C260" s="4">
        <v>-53385.410599146271</v>
      </c>
    </row>
    <row r="261" spans="1:3">
      <c r="A261" s="4">
        <v>236</v>
      </c>
      <c r="B261" s="4">
        <v>662878.00309594965</v>
      </c>
      <c r="C261" s="4">
        <v>7751.4769040503306</v>
      </c>
    </row>
    <row r="262" spans="1:3">
      <c r="A262" s="4">
        <v>237</v>
      </c>
      <c r="B262" s="4">
        <v>659792.80213585717</v>
      </c>
      <c r="C262" s="4">
        <v>61286.547864142805</v>
      </c>
    </row>
    <row r="263" spans="1:3">
      <c r="A263" s="4">
        <v>238</v>
      </c>
      <c r="B263" s="4">
        <v>716155.31402227969</v>
      </c>
      <c r="C263" s="4">
        <v>94199.705977720325</v>
      </c>
    </row>
    <row r="264" spans="1:3">
      <c r="A264" s="4">
        <v>239</v>
      </c>
      <c r="B264" s="4">
        <v>686550.17077565868</v>
      </c>
      <c r="C264" s="4">
        <v>75369.079224341316</v>
      </c>
    </row>
    <row r="265" spans="1:3">
      <c r="A265" s="4">
        <v>240</v>
      </c>
      <c r="B265" s="4">
        <v>616674.65160554764</v>
      </c>
      <c r="C265" s="4">
        <v>120395.52839445241</v>
      </c>
    </row>
    <row r="266" spans="1:3">
      <c r="A266" s="4">
        <v>241</v>
      </c>
      <c r="B266" s="4">
        <v>709634.91639700532</v>
      </c>
      <c r="C266" s="4">
        <v>67358.013602994732</v>
      </c>
    </row>
    <row r="267" spans="1:3">
      <c r="A267" s="4">
        <v>242</v>
      </c>
      <c r="B267" s="4">
        <v>671050.16323256248</v>
      </c>
      <c r="C267" s="4">
        <v>5287.2467674375512</v>
      </c>
    </row>
    <row r="268" spans="1:3">
      <c r="A268" s="4">
        <v>243</v>
      </c>
      <c r="B268" s="4">
        <v>711550.511995679</v>
      </c>
      <c r="C268" s="4">
        <v>116669.15800432104</v>
      </c>
    </row>
    <row r="269" spans="1:3">
      <c r="A269" s="4">
        <v>244</v>
      </c>
      <c r="B269" s="4">
        <v>674808.30999617337</v>
      </c>
      <c r="C269" s="4">
        <v>88351.610003826674</v>
      </c>
    </row>
    <row r="270" spans="1:3">
      <c r="A270" s="4">
        <v>245</v>
      </c>
      <c r="B270" s="4">
        <v>724631.55621991912</v>
      </c>
      <c r="C270" s="4">
        <v>77370.123780080932</v>
      </c>
    </row>
    <row r="271" spans="1:3">
      <c r="A271" s="4">
        <v>246</v>
      </c>
      <c r="B271" s="4">
        <v>663126.39676215965</v>
      </c>
      <c r="C271" s="4">
        <v>87344.943237840314</v>
      </c>
    </row>
    <row r="272" spans="1:3">
      <c r="A272" s="4">
        <v>247</v>
      </c>
      <c r="B272" s="4">
        <v>682993.75868283038</v>
      </c>
      <c r="C272" s="4">
        <v>-3762.8986828303896</v>
      </c>
    </row>
    <row r="273" spans="1:3">
      <c r="A273" s="4">
        <v>248</v>
      </c>
      <c r="B273" s="4">
        <v>606640.26302797056</v>
      </c>
      <c r="C273" s="4">
        <v>73248.476972029428</v>
      </c>
    </row>
    <row r="274" spans="1:3">
      <c r="A274" s="4">
        <v>249</v>
      </c>
      <c r="B274" s="4">
        <v>647927.38339586509</v>
      </c>
      <c r="C274" s="4">
        <v>-41143.713395865052</v>
      </c>
    </row>
    <row r="275" spans="1:3">
      <c r="A275" s="4">
        <v>250</v>
      </c>
      <c r="B275" s="4">
        <v>716092.7045076486</v>
      </c>
      <c r="C275" s="4">
        <v>-73341.284507648554</v>
      </c>
    </row>
    <row r="276" spans="1:3">
      <c r="A276" s="4">
        <v>251</v>
      </c>
      <c r="B276" s="4">
        <v>642471.96509616508</v>
      </c>
      <c r="C276" s="4">
        <v>5481.8149038349511</v>
      </c>
    </row>
    <row r="277" spans="1:3">
      <c r="A277" s="4">
        <v>252</v>
      </c>
      <c r="B277" s="4">
        <v>768370.35018370138</v>
      </c>
      <c r="C277" s="4">
        <v>-38929.900183701422</v>
      </c>
    </row>
    <row r="278" spans="1:3">
      <c r="A278" s="4">
        <v>253</v>
      </c>
      <c r="B278" s="4">
        <v>734980.44048187463</v>
      </c>
      <c r="C278" s="4">
        <v>29968.559518125374</v>
      </c>
    </row>
    <row r="279" spans="1:3">
      <c r="A279" s="4">
        <v>254</v>
      </c>
      <c r="B279" s="4">
        <v>696180.23818153958</v>
      </c>
      <c r="C279" s="4">
        <v>102866.70181846037</v>
      </c>
    </row>
    <row r="280" spans="1:3">
      <c r="A280" s="4">
        <v>255</v>
      </c>
      <c r="B280" s="4">
        <v>721374.4559393836</v>
      </c>
      <c r="C280" s="4">
        <v>-1294.915939383558</v>
      </c>
    </row>
    <row r="281" spans="1:3">
      <c r="A281" s="4">
        <v>256</v>
      </c>
      <c r="B281" s="4">
        <v>638059.8044536981</v>
      </c>
      <c r="C281" s="4">
        <v>-25669.664453698089</v>
      </c>
    </row>
    <row r="282" spans="1:3">
      <c r="A282" s="4">
        <v>257</v>
      </c>
      <c r="B282" s="4">
        <v>699780.22138557024</v>
      </c>
      <c r="C282" s="4">
        <v>140327.89861442975</v>
      </c>
    </row>
    <row r="283" spans="1:3">
      <c r="A283" s="4">
        <v>258</v>
      </c>
      <c r="B283" s="4">
        <v>621833.18580882833</v>
      </c>
      <c r="C283" s="4">
        <v>76054.904191171634</v>
      </c>
    </row>
    <row r="284" spans="1:3">
      <c r="A284" s="4">
        <v>259</v>
      </c>
      <c r="B284" s="4">
        <v>654881.87365591538</v>
      </c>
      <c r="C284" s="4">
        <v>91233.716344084591</v>
      </c>
    </row>
    <row r="285" spans="1:3">
      <c r="A285" s="4">
        <v>260</v>
      </c>
      <c r="B285" s="4">
        <v>642548.39555467223</v>
      </c>
      <c r="C285" s="4">
        <v>133561.92444532772</v>
      </c>
    </row>
    <row r="286" spans="1:3">
      <c r="A286" s="4">
        <v>261</v>
      </c>
      <c r="B286" s="4">
        <v>591697.43757358496</v>
      </c>
      <c r="C286" s="4">
        <v>-62844.817573584965</v>
      </c>
    </row>
    <row r="287" spans="1:3">
      <c r="A287" s="4">
        <v>262</v>
      </c>
      <c r="B287" s="4">
        <v>652962.82814521098</v>
      </c>
      <c r="C287" s="4">
        <v>-47211.498145211022</v>
      </c>
    </row>
    <row r="288" spans="1:3">
      <c r="A288" s="4">
        <v>263</v>
      </c>
      <c r="B288" s="4">
        <v>670345.16732036392</v>
      </c>
      <c r="C288" s="4">
        <v>7295.4826796361012</v>
      </c>
    </row>
    <row r="289" spans="1:3">
      <c r="A289" s="4">
        <v>264</v>
      </c>
      <c r="B289" s="4">
        <v>685758.41596461402</v>
      </c>
      <c r="C289" s="4">
        <v>-49145.185964614036</v>
      </c>
    </row>
    <row r="290" spans="1:3">
      <c r="A290" s="4">
        <v>265</v>
      </c>
      <c r="B290" s="4">
        <v>686383.76575956075</v>
      </c>
      <c r="C290" s="4">
        <v>22601.424240439199</v>
      </c>
    </row>
    <row r="291" spans="1:3">
      <c r="A291" s="4">
        <v>266</v>
      </c>
      <c r="B291" s="4">
        <v>717204.32153289719</v>
      </c>
      <c r="C291" s="4">
        <v>50588.618467102759</v>
      </c>
    </row>
    <row r="292" spans="1:3">
      <c r="A292" s="4">
        <v>267</v>
      </c>
      <c r="B292" s="4">
        <v>681316.3986760542</v>
      </c>
      <c r="C292" s="4">
        <v>64264.111323945806</v>
      </c>
    </row>
    <row r="293" spans="1:3">
      <c r="A293" s="4">
        <v>268</v>
      </c>
      <c r="B293" s="4">
        <v>704997.06336132041</v>
      </c>
      <c r="C293" s="4">
        <v>57331.246638679644</v>
      </c>
    </row>
    <row r="294" spans="1:3">
      <c r="A294" s="4">
        <v>269</v>
      </c>
      <c r="B294" s="4">
        <v>664600.3610293977</v>
      </c>
      <c r="C294" s="4">
        <v>-3966.3710293977056</v>
      </c>
    </row>
    <row r="295" spans="1:3">
      <c r="A295" s="4">
        <v>270</v>
      </c>
      <c r="B295" s="4">
        <v>611706.07552148798</v>
      </c>
      <c r="C295" s="4">
        <v>127668.48447851208</v>
      </c>
    </row>
    <row r="296" spans="1:3">
      <c r="A296" s="4">
        <v>271</v>
      </c>
      <c r="B296" s="4">
        <v>692801.00675596669</v>
      </c>
      <c r="C296" s="4">
        <v>106955.45324403327</v>
      </c>
    </row>
    <row r="297" spans="1:3">
      <c r="A297" s="4">
        <v>272</v>
      </c>
      <c r="B297" s="4">
        <v>623269.58436728758</v>
      </c>
      <c r="C297" s="4">
        <v>-29926.584367287578</v>
      </c>
    </row>
    <row r="298" spans="1:3">
      <c r="A298" s="4">
        <v>273</v>
      </c>
      <c r="B298" s="4">
        <v>668389.40793101187</v>
      </c>
      <c r="C298" s="4">
        <v>-23349.437931011897</v>
      </c>
    </row>
    <row r="299" spans="1:3">
      <c r="A299" s="4">
        <v>274</v>
      </c>
      <c r="B299" s="4">
        <v>598178.16121050634</v>
      </c>
      <c r="C299" s="4">
        <v>-36580.831210506381</v>
      </c>
    </row>
    <row r="300" spans="1:3">
      <c r="A300" s="4">
        <v>275</v>
      </c>
      <c r="B300" s="4">
        <v>662248.86265691975</v>
      </c>
      <c r="C300" s="4">
        <v>-26411.122656919761</v>
      </c>
    </row>
    <row r="301" spans="1:3">
      <c r="A301" s="4">
        <v>276</v>
      </c>
      <c r="B301" s="4">
        <v>642334.92692383472</v>
      </c>
      <c r="C301" s="4">
        <v>44402.943076165277</v>
      </c>
    </row>
    <row r="302" spans="1:3">
      <c r="A302" s="4">
        <v>277</v>
      </c>
      <c r="B302" s="4">
        <v>692351.26174253295</v>
      </c>
      <c r="C302" s="4">
        <v>-19274.921742532984</v>
      </c>
    </row>
    <row r="303" spans="1:3">
      <c r="A303" s="4">
        <v>278</v>
      </c>
      <c r="B303" s="4">
        <v>639214.56667508371</v>
      </c>
      <c r="C303" s="4">
        <v>99333.85332491633</v>
      </c>
    </row>
    <row r="304" spans="1:3">
      <c r="A304" s="4">
        <v>279</v>
      </c>
      <c r="B304" s="4">
        <v>664294.74567413528</v>
      </c>
      <c r="C304" s="4">
        <v>92325.024325864739</v>
      </c>
    </row>
    <row r="305" spans="1:3">
      <c r="A305" s="4">
        <v>280</v>
      </c>
      <c r="B305" s="4">
        <v>710452.54554828024</v>
      </c>
      <c r="C305" s="4">
        <v>50669.874451719807</v>
      </c>
    </row>
    <row r="306" spans="1:3">
      <c r="A306" s="4">
        <v>281</v>
      </c>
      <c r="B306" s="4">
        <v>658610.86653329153</v>
      </c>
      <c r="C306" s="4">
        <v>-133711.29653329158</v>
      </c>
    </row>
    <row r="307" spans="1:3">
      <c r="A307" s="4">
        <v>282</v>
      </c>
      <c r="B307" s="4">
        <v>634825.36285464815</v>
      </c>
      <c r="C307" s="4">
        <v>-79267.59285464813</v>
      </c>
    </row>
    <row r="308" spans="1:3">
      <c r="A308" s="4">
        <v>283</v>
      </c>
      <c r="B308" s="4">
        <v>701551.19752374734</v>
      </c>
      <c r="C308" s="4">
        <v>12532.482476252713</v>
      </c>
    </row>
    <row r="309" spans="1:3">
      <c r="A309" s="4">
        <v>284</v>
      </c>
      <c r="B309" s="4">
        <v>600385.76417809899</v>
      </c>
      <c r="C309" s="4">
        <v>-102945.94417809899</v>
      </c>
    </row>
    <row r="310" spans="1:3">
      <c r="A310" s="4">
        <v>285</v>
      </c>
      <c r="B310" s="4">
        <v>688941.70516429527</v>
      </c>
      <c r="C310" s="4">
        <v>-52166.045164295239</v>
      </c>
    </row>
    <row r="311" spans="1:3">
      <c r="A311" s="4">
        <v>286</v>
      </c>
      <c r="B311" s="4">
        <v>719514.05893320113</v>
      </c>
      <c r="C311" s="4">
        <v>-86504.528933201102</v>
      </c>
    </row>
    <row r="312" spans="1:3">
      <c r="A312" s="4">
        <v>287</v>
      </c>
      <c r="B312" s="4">
        <v>678696.12660148111</v>
      </c>
      <c r="C312" s="4">
        <v>-68747.126601481112</v>
      </c>
    </row>
    <row r="313" spans="1:3">
      <c r="A313" s="4">
        <v>288</v>
      </c>
      <c r="B313" s="4">
        <v>647938.07386400958</v>
      </c>
      <c r="C313" s="4">
        <v>-99834.373864009627</v>
      </c>
    </row>
    <row r="314" spans="1:3">
      <c r="A314" s="4">
        <v>289</v>
      </c>
      <c r="B314" s="4">
        <v>709874.04641054035</v>
      </c>
      <c r="C314" s="4">
        <v>19550.37358945969</v>
      </c>
    </row>
    <row r="315" spans="1:3">
      <c r="A315" s="4">
        <v>290</v>
      </c>
      <c r="B315" s="4">
        <v>707524.80538790964</v>
      </c>
      <c r="C315" s="4">
        <v>-11263.31538790965</v>
      </c>
    </row>
    <row r="316" spans="1:3">
      <c r="A316" s="4">
        <v>291</v>
      </c>
      <c r="B316" s="4">
        <v>681603.69968349941</v>
      </c>
      <c r="C316" s="4">
        <v>131713.01031650056</v>
      </c>
    </row>
    <row r="317" spans="1:3">
      <c r="A317" s="4">
        <v>292</v>
      </c>
      <c r="B317" s="4">
        <v>675946.71707904304</v>
      </c>
      <c r="C317" s="4">
        <v>26122.202920957003</v>
      </c>
    </row>
    <row r="318" spans="1:3">
      <c r="A318" s="4">
        <v>293</v>
      </c>
      <c r="B318" s="4">
        <v>671507.42564690253</v>
      </c>
      <c r="C318" s="4">
        <v>-125283.72564690257</v>
      </c>
    </row>
    <row r="319" spans="1:3">
      <c r="A319" s="4">
        <v>294</v>
      </c>
      <c r="B319" s="4">
        <v>646179.44926273264</v>
      </c>
      <c r="C319" s="4">
        <v>-113058.18926273263</v>
      </c>
    </row>
    <row r="320" spans="1:3">
      <c r="A320" s="4">
        <v>295</v>
      </c>
      <c r="B320" s="4">
        <v>688180.27550591552</v>
      </c>
      <c r="C320" s="4">
        <v>-189209.95550591551</v>
      </c>
    </row>
    <row r="321" spans="1:3">
      <c r="A321" s="4">
        <v>296</v>
      </c>
      <c r="B321" s="4">
        <v>619124.04655583482</v>
      </c>
      <c r="C321" s="4">
        <v>-131385.78655583481</v>
      </c>
    </row>
    <row r="322" spans="1:3">
      <c r="A322" s="4">
        <v>297</v>
      </c>
      <c r="B322" s="4">
        <v>679180.79665028735</v>
      </c>
      <c r="C322" s="4">
        <v>-10721.426650287351</v>
      </c>
    </row>
    <row r="323" spans="1:3">
      <c r="A323" s="4">
        <v>298</v>
      </c>
      <c r="B323" s="4">
        <v>678921.09493908775</v>
      </c>
      <c r="C323" s="4">
        <v>84241.355060912203</v>
      </c>
    </row>
    <row r="324" spans="1:3">
      <c r="A324" s="4">
        <v>299</v>
      </c>
      <c r="B324" s="4">
        <v>659109.84732829907</v>
      </c>
      <c r="C324" s="4">
        <v>-60092.517328299116</v>
      </c>
    </row>
    <row r="325" spans="1:3">
      <c r="A325" s="4">
        <v>300</v>
      </c>
      <c r="B325" s="4">
        <v>612660.14656400145</v>
      </c>
      <c r="C325" s="4">
        <v>-211077.56656400143</v>
      </c>
    </row>
    <row r="326" spans="1:3">
      <c r="A326" s="4">
        <v>301</v>
      </c>
      <c r="B326" s="4">
        <v>647339.62060545024</v>
      </c>
      <c r="C326" s="4">
        <v>56473.369394549751</v>
      </c>
    </row>
    <row r="327" spans="1:3">
      <c r="A327" s="4">
        <v>302</v>
      </c>
      <c r="B327" s="4">
        <v>697042.4393444208</v>
      </c>
      <c r="C327" s="4">
        <v>27304.290655579185</v>
      </c>
    </row>
    <row r="328" spans="1:3">
      <c r="A328" s="4">
        <v>303</v>
      </c>
      <c r="B328" s="4">
        <v>673312.09166676202</v>
      </c>
      <c r="C328" s="4">
        <v>57577.918333237991</v>
      </c>
    </row>
    <row r="329" spans="1:3">
      <c r="A329" s="4">
        <v>304</v>
      </c>
      <c r="B329" s="4">
        <v>628917.89960016066</v>
      </c>
      <c r="C329" s="4">
        <v>151663.0503998393</v>
      </c>
    </row>
    <row r="330" spans="1:3">
      <c r="A330" s="4">
        <v>305</v>
      </c>
      <c r="B330" s="4">
        <v>677793.29314134945</v>
      </c>
      <c r="C330" s="4">
        <v>50164.18685865053</v>
      </c>
    </row>
    <row r="331" spans="1:3">
      <c r="A331" s="4">
        <v>306</v>
      </c>
      <c r="B331" s="4">
        <v>659049.23961447587</v>
      </c>
      <c r="C331" s="4">
        <v>-120673.23961447587</v>
      </c>
    </row>
    <row r="332" spans="1:3">
      <c r="A332" s="4">
        <v>307</v>
      </c>
      <c r="B332" s="4">
        <v>608452.7019977757</v>
      </c>
      <c r="C332" s="4">
        <v>56889.78800222429</v>
      </c>
    </row>
    <row r="333" spans="1:3">
      <c r="A333" s="4">
        <v>308</v>
      </c>
      <c r="B333" s="4">
        <v>690008.60110766452</v>
      </c>
      <c r="C333" s="4">
        <v>-38844.421107664471</v>
      </c>
    </row>
    <row r="334" spans="1:3">
      <c r="A334" s="4">
        <v>309</v>
      </c>
      <c r="B334" s="4">
        <v>663988.49144627457</v>
      </c>
      <c r="C334" s="4">
        <v>-35450.191446274519</v>
      </c>
    </row>
    <row r="335" spans="1:3">
      <c r="A335" s="4">
        <v>310</v>
      </c>
      <c r="B335" s="4">
        <v>611253.34910259559</v>
      </c>
      <c r="C335" s="4">
        <v>-74728.509102595621</v>
      </c>
    </row>
    <row r="336" spans="1:3">
      <c r="A336" s="4">
        <v>311</v>
      </c>
      <c r="B336" s="4">
        <v>676462.13819557964</v>
      </c>
      <c r="C336" s="4">
        <v>-54784.838195579592</v>
      </c>
    </row>
    <row r="337" spans="1:3">
      <c r="A337" s="4">
        <v>312</v>
      </c>
      <c r="B337" s="4">
        <v>743977.42773436964</v>
      </c>
      <c r="C337" s="4">
        <v>27151.642265630304</v>
      </c>
    </row>
    <row r="338" spans="1:3">
      <c r="A338" s="4">
        <v>313</v>
      </c>
      <c r="B338" s="4">
        <v>728944.62772239337</v>
      </c>
      <c r="C338" s="4">
        <v>-26892.1577223934</v>
      </c>
    </row>
    <row r="339" spans="1:3">
      <c r="A339" s="4">
        <v>314</v>
      </c>
      <c r="B339" s="4">
        <v>660373.30307440483</v>
      </c>
      <c r="C339" s="4">
        <v>27995.156925595133</v>
      </c>
    </row>
    <row r="340" spans="1:3">
      <c r="A340" s="4">
        <v>315</v>
      </c>
      <c r="B340" s="4">
        <v>693891.05118314689</v>
      </c>
      <c r="C340" s="4">
        <v>18484.718816853128</v>
      </c>
    </row>
    <row r="341" spans="1:3">
      <c r="A341" s="4">
        <v>316</v>
      </c>
      <c r="B341" s="4">
        <v>702300.99970083835</v>
      </c>
      <c r="C341" s="4">
        <v>142409.67029916169</v>
      </c>
    </row>
    <row r="342" spans="1:3">
      <c r="A342" s="4">
        <v>317</v>
      </c>
      <c r="B342" s="4">
        <v>723933.31106150895</v>
      </c>
      <c r="C342" s="4">
        <v>-103669.111061509</v>
      </c>
    </row>
    <row r="343" spans="1:3">
      <c r="A343" s="4">
        <v>318</v>
      </c>
      <c r="B343" s="4">
        <v>612074.68371494045</v>
      </c>
      <c r="C343" s="4">
        <v>-75229.263714940404</v>
      </c>
    </row>
    <row r="344" spans="1:3">
      <c r="A344" s="4">
        <v>319</v>
      </c>
      <c r="B344" s="4">
        <v>735195.05908338912</v>
      </c>
      <c r="C344" s="4">
        <v>-8418.8390833891463</v>
      </c>
    </row>
    <row r="345" spans="1:3" ht="15" thickBot="1">
      <c r="A345" s="5">
        <v>320</v>
      </c>
      <c r="B345" s="5">
        <v>647138.24796247343</v>
      </c>
      <c r="C345" s="5">
        <v>-87477.407962473459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B089-F6F7-4269-88B0-0587436E6BD1}">
  <dimension ref="A3:I346"/>
  <sheetViews>
    <sheetView workbookViewId="0">
      <selection activeCell="N16" sqref="N16"/>
    </sheetView>
  </sheetViews>
  <sheetFormatPr defaultRowHeight="14.4"/>
  <cols>
    <col min="1" max="2" width="10.44140625" customWidth="1"/>
    <col min="3" max="3" width="18.21875" customWidth="1"/>
    <col min="4" max="5" width="10.44140625" customWidth="1"/>
    <col min="6" max="6" width="19.109375" customWidth="1"/>
    <col min="7" max="9" width="10.44140625" customWidth="1"/>
    <col min="10" max="11" width="11.44140625" customWidth="1"/>
  </cols>
  <sheetData>
    <row r="3" spans="1:6">
      <c r="A3" s="11" t="s">
        <v>105</v>
      </c>
    </row>
    <row r="4" spans="1:6" ht="15" thickBot="1"/>
    <row r="5" spans="1:6">
      <c r="A5" s="13" t="s">
        <v>106</v>
      </c>
      <c r="B5" s="7"/>
    </row>
    <row r="6" spans="1:6">
      <c r="A6" s="4" t="s">
        <v>107</v>
      </c>
      <c r="B6" s="4">
        <v>0.85807070804410468</v>
      </c>
    </row>
    <row r="7" spans="1:6">
      <c r="A7" s="4" t="s">
        <v>108</v>
      </c>
      <c r="B7" s="4">
        <v>0.73628534000331114</v>
      </c>
    </row>
    <row r="8" spans="1:6">
      <c r="A8" s="4" t="s">
        <v>109</v>
      </c>
      <c r="B8" s="4">
        <v>0.73545604861967373</v>
      </c>
    </row>
    <row r="9" spans="1:6">
      <c r="A9" s="4" t="s">
        <v>110</v>
      </c>
      <c r="B9" s="4">
        <v>53373.736380790499</v>
      </c>
    </row>
    <row r="10" spans="1:6" ht="15" thickBot="1">
      <c r="A10" s="5" t="s">
        <v>111</v>
      </c>
      <c r="B10" s="5">
        <v>320</v>
      </c>
    </row>
    <row r="12" spans="1:6" ht="15" thickBot="1">
      <c r="A12" s="11" t="s">
        <v>112</v>
      </c>
    </row>
    <row r="13" spans="1:6">
      <c r="A13" s="6"/>
      <c r="B13" s="6" t="s">
        <v>117</v>
      </c>
      <c r="C13" s="6" t="s">
        <v>118</v>
      </c>
      <c r="D13" s="6" t="s">
        <v>119</v>
      </c>
      <c r="E13" s="6" t="s">
        <v>120</v>
      </c>
      <c r="F13" s="6" t="s">
        <v>121</v>
      </c>
    </row>
    <row r="14" spans="1:6">
      <c r="A14" s="4" t="s">
        <v>113</v>
      </c>
      <c r="B14" s="4">
        <v>1</v>
      </c>
      <c r="C14" s="4">
        <v>2529264292982.4736</v>
      </c>
      <c r="D14" s="4">
        <v>2529264292982.4736</v>
      </c>
      <c r="E14" s="4">
        <v>887.84877611276033</v>
      </c>
      <c r="F14" s="4">
        <v>4.7503615090053331E-94</v>
      </c>
    </row>
    <row r="15" spans="1:6">
      <c r="A15" s="4" t="s">
        <v>114</v>
      </c>
      <c r="B15" s="4">
        <v>318</v>
      </c>
      <c r="C15" s="4">
        <v>905904323808.26587</v>
      </c>
      <c r="D15" s="4">
        <v>2848755735.246119</v>
      </c>
      <c r="E15" s="4"/>
      <c r="F15" s="4"/>
    </row>
    <row r="16" spans="1:6" ht="15" thickBot="1">
      <c r="A16" s="5" t="s">
        <v>115</v>
      </c>
      <c r="B16" s="5">
        <v>319</v>
      </c>
      <c r="C16" s="5">
        <v>3435168616790.7393</v>
      </c>
      <c r="D16" s="5"/>
      <c r="E16" s="5"/>
      <c r="F16" s="5"/>
    </row>
    <row r="17" spans="1:9" ht="15" thickBot="1"/>
    <row r="18" spans="1:9">
      <c r="A18" s="6"/>
      <c r="B18" s="6" t="s">
        <v>122</v>
      </c>
      <c r="C18" s="6" t="s">
        <v>110</v>
      </c>
      <c r="D18" s="6" t="s">
        <v>123</v>
      </c>
      <c r="E18" s="6" t="s">
        <v>124</v>
      </c>
      <c r="F18" s="6" t="s">
        <v>125</v>
      </c>
      <c r="G18" s="6" t="s">
        <v>126</v>
      </c>
      <c r="H18" s="6" t="s">
        <v>127</v>
      </c>
      <c r="I18" s="6" t="s">
        <v>128</v>
      </c>
    </row>
    <row r="19" spans="1:9">
      <c r="A19" s="4" t="s">
        <v>116</v>
      </c>
      <c r="B19" s="4">
        <v>446410.58293395344</v>
      </c>
      <c r="C19" s="4">
        <v>8407.7382630059928</v>
      </c>
      <c r="D19" s="4">
        <v>53.095204556754318</v>
      </c>
      <c r="E19" s="4">
        <v>4.0862695711507226E-160</v>
      </c>
      <c r="F19" s="4">
        <v>429868.76191129786</v>
      </c>
      <c r="G19" s="4">
        <v>462952.40395660902</v>
      </c>
      <c r="H19" s="4">
        <v>429868.76191129786</v>
      </c>
      <c r="I19" s="4">
        <v>462952.40395660902</v>
      </c>
    </row>
    <row r="20" spans="1:9" ht="15" thickBot="1">
      <c r="A20" s="5" t="s">
        <v>5</v>
      </c>
      <c r="B20" s="5">
        <v>35.678031072640458</v>
      </c>
      <c r="C20" s="5">
        <v>1.1973782890340821</v>
      </c>
      <c r="D20" s="5">
        <v>29.796791372776362</v>
      </c>
      <c r="E20" s="5">
        <v>4.7503615090054677E-94</v>
      </c>
      <c r="F20" s="5">
        <v>33.322246825554025</v>
      </c>
      <c r="G20" s="5">
        <v>38.033815319726891</v>
      </c>
      <c r="H20" s="5">
        <v>33.322246825554025</v>
      </c>
      <c r="I20" s="5">
        <v>38.033815319726891</v>
      </c>
    </row>
    <row r="24" spans="1:9">
      <c r="A24" s="11" t="s">
        <v>129</v>
      </c>
    </row>
    <row r="25" spans="1:9" ht="15" thickBot="1"/>
    <row r="26" spans="1:9">
      <c r="A26" s="6" t="s">
        <v>130</v>
      </c>
      <c r="B26" s="6" t="s">
        <v>131</v>
      </c>
      <c r="C26" s="6" t="s">
        <v>132</v>
      </c>
    </row>
    <row r="27" spans="1:9">
      <c r="A27" s="4">
        <v>1</v>
      </c>
      <c r="B27" s="4">
        <v>742609.59689901455</v>
      </c>
      <c r="C27" s="4">
        <v>-83776.976899014553</v>
      </c>
    </row>
    <row r="28" spans="1:9">
      <c r="A28" s="4">
        <v>2</v>
      </c>
      <c r="B28" s="4">
        <v>749210.03264745302</v>
      </c>
      <c r="C28" s="4">
        <v>-114774.03264745302</v>
      </c>
    </row>
    <row r="29" spans="1:9">
      <c r="A29" s="4">
        <v>3</v>
      </c>
      <c r="B29" s="4">
        <v>771544.480098926</v>
      </c>
      <c r="C29" s="4">
        <v>-92822.420098925941</v>
      </c>
    </row>
    <row r="30" spans="1:9">
      <c r="A30" s="4">
        <v>4</v>
      </c>
      <c r="B30" s="4">
        <v>782890.09398002562</v>
      </c>
      <c r="C30" s="4">
        <v>-123969.79398002557</v>
      </c>
    </row>
    <row r="31" spans="1:9">
      <c r="A31" s="4">
        <v>5</v>
      </c>
      <c r="B31" s="4">
        <v>786957.38952230662</v>
      </c>
      <c r="C31" s="4">
        <v>-45615.949522306677</v>
      </c>
    </row>
    <row r="32" spans="1:9">
      <c r="A32" s="4">
        <v>6</v>
      </c>
      <c r="B32" s="4">
        <v>795769.86319724878</v>
      </c>
      <c r="C32" s="4">
        <v>-33934.523197248811</v>
      </c>
    </row>
    <row r="33" spans="1:3">
      <c r="A33" s="4">
        <v>7</v>
      </c>
      <c r="B33" s="4">
        <v>825168.56080110453</v>
      </c>
      <c r="C33" s="4">
        <v>-18553.020801104489</v>
      </c>
    </row>
    <row r="34" spans="1:3">
      <c r="A34" s="4">
        <v>8</v>
      </c>
      <c r="B34" s="4">
        <v>752064.27513326425</v>
      </c>
      <c r="C34" s="4">
        <v>98099.984866735758</v>
      </c>
    </row>
    <row r="35" spans="1:3">
      <c r="A35" s="4">
        <v>9</v>
      </c>
      <c r="B35" s="4">
        <v>838119.68608047301</v>
      </c>
      <c r="C35" s="4">
        <v>92462.013919526944</v>
      </c>
    </row>
    <row r="36" spans="1:3">
      <c r="A36" s="4">
        <v>10</v>
      </c>
      <c r="B36" s="4">
        <v>783889.07885005954</v>
      </c>
      <c r="C36" s="4">
        <v>-4878.1388500595931</v>
      </c>
    </row>
    <row r="37" spans="1:3">
      <c r="A37" s="4">
        <v>11</v>
      </c>
      <c r="B37" s="4">
        <v>773649.48393221176</v>
      </c>
      <c r="C37" s="4">
        <v>-50588.723932211753</v>
      </c>
    </row>
    <row r="38" spans="1:3">
      <c r="A38" s="4">
        <v>12</v>
      </c>
      <c r="B38" s="4">
        <v>847074.87187970581</v>
      </c>
      <c r="C38" s="4">
        <v>63717.068120294134</v>
      </c>
    </row>
    <row r="39" spans="1:3">
      <c r="A39" s="4">
        <v>13</v>
      </c>
      <c r="B39" s="4">
        <v>902197.42988693528</v>
      </c>
      <c r="C39" s="4">
        <v>19971.170113064698</v>
      </c>
    </row>
    <row r="40" spans="1:3">
      <c r="A40" s="4">
        <v>14</v>
      </c>
      <c r="B40" s="4">
        <v>805117.50733828056</v>
      </c>
      <c r="C40" s="4">
        <v>-78511.227338280529</v>
      </c>
    </row>
    <row r="41" spans="1:3">
      <c r="A41" s="4">
        <v>15</v>
      </c>
      <c r="B41" s="4">
        <v>763766.66932509025</v>
      </c>
      <c r="C41" s="4">
        <v>-17265.579325090279</v>
      </c>
    </row>
    <row r="42" spans="1:3">
      <c r="A42" s="4">
        <v>16</v>
      </c>
      <c r="B42" s="4">
        <v>836728.24286863999</v>
      </c>
      <c r="C42" s="4">
        <v>-2711.2228686399758</v>
      </c>
    </row>
    <row r="43" spans="1:3">
      <c r="A43" s="4">
        <v>17</v>
      </c>
      <c r="B43" s="4">
        <v>698190.44821357715</v>
      </c>
      <c r="C43" s="4">
        <v>-32037.928213577135</v>
      </c>
    </row>
    <row r="44" spans="1:3">
      <c r="A44" s="4">
        <v>18</v>
      </c>
      <c r="B44" s="4">
        <v>598506.02939661965</v>
      </c>
      <c r="C44" s="4">
        <v>-25350.839396619704</v>
      </c>
    </row>
    <row r="45" spans="1:3">
      <c r="A45" s="4">
        <v>19</v>
      </c>
      <c r="B45" s="4">
        <v>643995.51901423628</v>
      </c>
      <c r="C45" s="4">
        <v>22577.680985763669</v>
      </c>
    </row>
    <row r="46" spans="1:3">
      <c r="A46" s="4">
        <v>20</v>
      </c>
      <c r="B46" s="4">
        <v>619984.20410234923</v>
      </c>
      <c r="C46" s="4">
        <v>-28364.254102349281</v>
      </c>
    </row>
    <row r="47" spans="1:3">
      <c r="A47" s="4">
        <v>21</v>
      </c>
      <c r="B47" s="4">
        <v>547093.98662094481</v>
      </c>
      <c r="C47" s="4">
        <v>-131372.1666209448</v>
      </c>
    </row>
    <row r="48" spans="1:3">
      <c r="A48" s="4">
        <v>22</v>
      </c>
      <c r="B48" s="4">
        <v>522083.68683902384</v>
      </c>
      <c r="C48" s="4">
        <v>-30178.556839023833</v>
      </c>
    </row>
    <row r="49" spans="1:3">
      <c r="A49" s="4">
        <v>23</v>
      </c>
      <c r="B49" s="4">
        <v>566431.47946231591</v>
      </c>
      <c r="C49" s="4">
        <v>-10502.079462315887</v>
      </c>
    </row>
    <row r="50" spans="1:3">
      <c r="A50" s="4">
        <v>24</v>
      </c>
      <c r="B50" s="4">
        <v>539637.27812676295</v>
      </c>
      <c r="C50" s="4">
        <v>26173.711873237044</v>
      </c>
    </row>
    <row r="51" spans="1:3">
      <c r="A51" s="4">
        <v>25</v>
      </c>
      <c r="B51" s="4">
        <v>810968.70443419367</v>
      </c>
      <c r="C51" s="4">
        <v>802.43556580634322</v>
      </c>
    </row>
    <row r="52" spans="1:3">
      <c r="A52" s="4">
        <v>26</v>
      </c>
      <c r="B52" s="4">
        <v>764908.36631941481</v>
      </c>
      <c r="C52" s="4">
        <v>35543.573680585134</v>
      </c>
    </row>
    <row r="53" spans="1:3">
      <c r="A53" s="4">
        <v>27</v>
      </c>
      <c r="B53" s="4">
        <v>778751.44237559929</v>
      </c>
      <c r="C53" s="4">
        <v>4921.3776244006585</v>
      </c>
    </row>
    <row r="54" spans="1:3">
      <c r="A54" s="4">
        <v>28</v>
      </c>
      <c r="B54" s="4">
        <v>704113.00137163547</v>
      </c>
      <c r="C54" s="4">
        <v>-2471.0313716355013</v>
      </c>
    </row>
    <row r="55" spans="1:3">
      <c r="A55" s="4">
        <v>29</v>
      </c>
      <c r="B55" s="4">
        <v>588694.57085164357</v>
      </c>
      <c r="C55" s="4">
        <v>-76850.160851643595</v>
      </c>
    </row>
    <row r="56" spans="1:3">
      <c r="A56" s="4">
        <v>30</v>
      </c>
      <c r="B56" s="4">
        <v>531681.07719756418</v>
      </c>
      <c r="C56" s="4">
        <v>5702.7128024358535</v>
      </c>
    </row>
    <row r="57" spans="1:3">
      <c r="A57" s="4">
        <v>31</v>
      </c>
      <c r="B57" s="4">
        <v>534570.99771444802</v>
      </c>
      <c r="C57" s="4">
        <v>-34397.977714448003</v>
      </c>
    </row>
    <row r="58" spans="1:3">
      <c r="A58" s="4">
        <v>32</v>
      </c>
      <c r="B58" s="4">
        <v>481053.9511054873</v>
      </c>
      <c r="C58" s="4">
        <v>-53136.571105487295</v>
      </c>
    </row>
    <row r="59" spans="1:3">
      <c r="A59" s="4">
        <v>33</v>
      </c>
      <c r="B59" s="4">
        <v>782818.73791788029</v>
      </c>
      <c r="C59" s="4">
        <v>-140953.70791788027</v>
      </c>
    </row>
    <row r="60" spans="1:3">
      <c r="A60" s="4">
        <v>34</v>
      </c>
      <c r="B60" s="4">
        <v>863665.1563284836</v>
      </c>
      <c r="C60" s="4">
        <v>-64187.396328483592</v>
      </c>
    </row>
    <row r="61" spans="1:3">
      <c r="A61" s="4">
        <v>35</v>
      </c>
      <c r="B61" s="4">
        <v>783532.29853933305</v>
      </c>
      <c r="C61" s="4">
        <v>15419.871460666996</v>
      </c>
    </row>
    <row r="62" spans="1:3">
      <c r="A62" s="4">
        <v>36</v>
      </c>
      <c r="B62" s="4">
        <v>819353.04173626413</v>
      </c>
      <c r="C62" s="4">
        <v>-18373.261736264103</v>
      </c>
    </row>
    <row r="63" spans="1:3">
      <c r="A63" s="4">
        <v>37</v>
      </c>
      <c r="B63" s="4">
        <v>761733.0215539498</v>
      </c>
      <c r="C63" s="4">
        <v>58860.908446050249</v>
      </c>
    </row>
    <row r="64" spans="1:3">
      <c r="A64" s="4">
        <v>38</v>
      </c>
      <c r="B64" s="4">
        <v>737400.6043624091</v>
      </c>
      <c r="C64" s="4">
        <v>-19070.074362409068</v>
      </c>
    </row>
    <row r="65" spans="1:3">
      <c r="A65" s="4">
        <v>39</v>
      </c>
      <c r="B65" s="4">
        <v>716207.85390526056</v>
      </c>
      <c r="C65" s="4">
        <v>20425.54609473946</v>
      </c>
    </row>
    <row r="66" spans="1:3">
      <c r="A66" s="4">
        <v>40</v>
      </c>
      <c r="B66" s="4">
        <v>788848.32516915654</v>
      </c>
      <c r="C66" s="4">
        <v>39775.524830843438</v>
      </c>
    </row>
    <row r="67" spans="1:3">
      <c r="A67" s="4">
        <v>41</v>
      </c>
      <c r="B67" s="4">
        <v>576992.17665981757</v>
      </c>
      <c r="C67" s="4">
        <v>15203.673340182402</v>
      </c>
    </row>
    <row r="68" spans="1:3">
      <c r="A68" s="4">
        <v>42</v>
      </c>
      <c r="B68" s="4">
        <v>561543.58920536423</v>
      </c>
      <c r="C68" s="4">
        <v>-28899.129205364268</v>
      </c>
    </row>
    <row r="69" spans="1:3">
      <c r="A69" s="4">
        <v>43</v>
      </c>
      <c r="B69" s="4">
        <v>566288.76733802538</v>
      </c>
      <c r="C69" s="4">
        <v>91140.412661974668</v>
      </c>
    </row>
    <row r="70" spans="1:3">
      <c r="A70" s="4">
        <v>44</v>
      </c>
      <c r="B70" s="4">
        <v>576349.97210051003</v>
      </c>
      <c r="C70" s="4">
        <v>28828.027899489971</v>
      </c>
    </row>
    <row r="71" spans="1:3">
      <c r="A71" s="4">
        <v>45</v>
      </c>
      <c r="B71" s="4">
        <v>629974.05280268856</v>
      </c>
      <c r="C71" s="4">
        <v>-34506.452802688582</v>
      </c>
    </row>
    <row r="72" spans="1:3">
      <c r="A72" s="4">
        <v>46</v>
      </c>
      <c r="B72" s="4">
        <v>605534.60151792993</v>
      </c>
      <c r="C72" s="4">
        <v>-5931.2015179299051</v>
      </c>
    </row>
    <row r="73" spans="1:3">
      <c r="A73" s="4">
        <v>47</v>
      </c>
      <c r="B73" s="4">
        <v>582129.81313427771</v>
      </c>
      <c r="C73" s="4">
        <v>32670.276865722262</v>
      </c>
    </row>
    <row r="74" spans="1:3">
      <c r="A74" s="4">
        <v>48</v>
      </c>
      <c r="B74" s="4">
        <v>591762.88152389065</v>
      </c>
      <c r="C74" s="4">
        <v>-6397.1515238906723</v>
      </c>
    </row>
    <row r="75" spans="1:3">
      <c r="A75" s="4">
        <v>49</v>
      </c>
      <c r="B75" s="4">
        <v>628511.25352871034</v>
      </c>
      <c r="C75" s="4">
        <v>-5699.5135287103476</v>
      </c>
    </row>
    <row r="76" spans="1:3">
      <c r="A76" s="4">
        <v>50</v>
      </c>
      <c r="B76" s="4">
        <v>644744.75766676175</v>
      </c>
      <c r="C76" s="4">
        <v>-41447.187666761805</v>
      </c>
    </row>
    <row r="77" spans="1:3">
      <c r="A77" s="4">
        <v>51</v>
      </c>
      <c r="B77" s="4">
        <v>630152.4429580518</v>
      </c>
      <c r="C77" s="4">
        <v>-4479.5829580518184</v>
      </c>
    </row>
    <row r="78" spans="1:3">
      <c r="A78" s="4">
        <v>52</v>
      </c>
      <c r="B78" s="4">
        <v>702899.9483151657</v>
      </c>
      <c r="C78" s="4">
        <v>70915.19168483431</v>
      </c>
    </row>
    <row r="79" spans="1:3">
      <c r="A79" s="4">
        <v>53</v>
      </c>
      <c r="B79" s="4">
        <v>563398.84682114155</v>
      </c>
      <c r="C79" s="4">
        <v>-99864.596821141546</v>
      </c>
    </row>
    <row r="80" spans="1:3">
      <c r="A80" s="4">
        <v>54</v>
      </c>
      <c r="B80" s="4">
        <v>656447.15185858775</v>
      </c>
      <c r="C80" s="4">
        <v>90230.598141412251</v>
      </c>
    </row>
    <row r="81" spans="1:3">
      <c r="A81" s="4">
        <v>55</v>
      </c>
      <c r="B81" s="4">
        <v>643210.60233063821</v>
      </c>
      <c r="C81" s="4">
        <v>77641.897669361788</v>
      </c>
    </row>
    <row r="82" spans="1:3">
      <c r="A82" s="4">
        <v>56</v>
      </c>
      <c r="B82" s="4">
        <v>548556.78589492303</v>
      </c>
      <c r="C82" s="4">
        <v>-61091.875894923054</v>
      </c>
    </row>
    <row r="83" spans="1:3">
      <c r="A83" s="4">
        <v>57</v>
      </c>
      <c r="B83" s="4">
        <v>531252.94082469249</v>
      </c>
      <c r="C83" s="4">
        <v>-13203.680824692477</v>
      </c>
    </row>
    <row r="84" spans="1:3">
      <c r="A84" s="4">
        <v>58</v>
      </c>
      <c r="B84" s="4">
        <v>536140.83108164417</v>
      </c>
      <c r="C84" s="4">
        <v>-35842.351081644185</v>
      </c>
    </row>
    <row r="85" spans="1:3">
      <c r="A85" s="4">
        <v>59</v>
      </c>
      <c r="B85" s="4">
        <v>589907.62390811334</v>
      </c>
      <c r="C85" s="4">
        <v>27383.526091886684</v>
      </c>
    </row>
    <row r="86" spans="1:3">
      <c r="A86" s="4">
        <v>60</v>
      </c>
      <c r="B86" s="4">
        <v>602573.32493890077</v>
      </c>
      <c r="C86" s="4">
        <v>-48816.894938900718</v>
      </c>
    </row>
    <row r="87" spans="1:3">
      <c r="A87" s="4">
        <v>61</v>
      </c>
      <c r="B87" s="4">
        <v>635718.21580538375</v>
      </c>
      <c r="C87" s="4">
        <v>113841.49419461621</v>
      </c>
    </row>
    <row r="88" spans="1:3">
      <c r="A88" s="4">
        <v>62</v>
      </c>
      <c r="B88" s="4">
        <v>586553.8889872852</v>
      </c>
      <c r="C88" s="4">
        <v>29412.59101271478</v>
      </c>
    </row>
    <row r="89" spans="1:3">
      <c r="A89" s="4">
        <v>63</v>
      </c>
      <c r="B89" s="4">
        <v>583592.61240825604</v>
      </c>
      <c r="C89" s="4">
        <v>-11581.412408256088</v>
      </c>
    </row>
    <row r="90" spans="1:3">
      <c r="A90" s="4">
        <v>64</v>
      </c>
      <c r="B90" s="4">
        <v>682599.14863483328</v>
      </c>
      <c r="C90" s="4">
        <v>79261.04136516666</v>
      </c>
    </row>
    <row r="91" spans="1:3">
      <c r="A91" s="4">
        <v>65</v>
      </c>
      <c r="B91" s="4">
        <v>773756.51802542969</v>
      </c>
      <c r="C91" s="4">
        <v>10746.161974570365</v>
      </c>
    </row>
    <row r="92" spans="1:3">
      <c r="A92" s="4">
        <v>66</v>
      </c>
      <c r="B92" s="4">
        <v>729694.14965071867</v>
      </c>
      <c r="C92" s="4">
        <v>-12552.599650718621</v>
      </c>
    </row>
    <row r="93" spans="1:3">
      <c r="A93" s="4">
        <v>67</v>
      </c>
      <c r="B93" s="4">
        <v>789918.66610133578</v>
      </c>
      <c r="C93" s="4">
        <v>-104539.58610133582</v>
      </c>
    </row>
    <row r="94" spans="1:3">
      <c r="A94" s="4">
        <v>68</v>
      </c>
      <c r="B94" s="4">
        <v>742395.5287125787</v>
      </c>
      <c r="C94" s="4">
        <v>-1898.8787125786766</v>
      </c>
    </row>
    <row r="95" spans="1:3">
      <c r="A95" s="4">
        <v>69</v>
      </c>
      <c r="B95" s="4">
        <v>574673.10464009584</v>
      </c>
      <c r="C95" s="4">
        <v>87254.03535990417</v>
      </c>
    </row>
    <row r="96" spans="1:3">
      <c r="A96" s="4">
        <v>70</v>
      </c>
      <c r="B96" s="4">
        <v>547522.12299381651</v>
      </c>
      <c r="C96" s="4">
        <v>-68471.622993816505</v>
      </c>
    </row>
    <row r="97" spans="1:3">
      <c r="A97" s="4">
        <v>71</v>
      </c>
      <c r="B97" s="4">
        <v>560330.53614889446</v>
      </c>
      <c r="C97" s="4">
        <v>44693.333851105534</v>
      </c>
    </row>
    <row r="98" spans="1:3">
      <c r="A98" s="4">
        <v>72</v>
      </c>
      <c r="B98" s="4">
        <v>642104.58336738637</v>
      </c>
      <c r="C98" s="4">
        <v>32669.5066326136</v>
      </c>
    </row>
    <row r="99" spans="1:3">
      <c r="A99" s="4">
        <v>73</v>
      </c>
      <c r="B99" s="4">
        <v>657553.17082183971</v>
      </c>
      <c r="C99" s="4">
        <v>-41483.760821839678</v>
      </c>
    </row>
    <row r="100" spans="1:3">
      <c r="A100" s="4">
        <v>74</v>
      </c>
      <c r="B100" s="4">
        <v>689770.43288043397</v>
      </c>
      <c r="C100" s="4">
        <v>-58940.492880434031</v>
      </c>
    </row>
    <row r="101" spans="1:3">
      <c r="A101" s="4">
        <v>75</v>
      </c>
      <c r="B101" s="4">
        <v>689235.26241434435</v>
      </c>
      <c r="C101" s="4">
        <v>98852.417585655698</v>
      </c>
    </row>
    <row r="102" spans="1:3">
      <c r="A102" s="4">
        <v>76</v>
      </c>
      <c r="B102" s="4">
        <v>740825.69534538244</v>
      </c>
      <c r="C102" s="4">
        <v>-59985.335345382453</v>
      </c>
    </row>
    <row r="103" spans="1:3">
      <c r="A103" s="4">
        <v>77</v>
      </c>
      <c r="B103" s="4">
        <v>684097.62593988422</v>
      </c>
      <c r="C103" s="4">
        <v>-40440.155939884251</v>
      </c>
    </row>
    <row r="104" spans="1:3">
      <c r="A104" s="4">
        <v>78</v>
      </c>
      <c r="B104" s="4">
        <v>659123.00418903586</v>
      </c>
      <c r="C104" s="4">
        <v>31989.595810964121</v>
      </c>
    </row>
    <row r="105" spans="1:3">
      <c r="A105" s="4">
        <v>79</v>
      </c>
      <c r="B105" s="4">
        <v>712925.47504657763</v>
      </c>
      <c r="C105" s="4">
        <v>63996.694953422411</v>
      </c>
    </row>
    <row r="106" spans="1:3">
      <c r="A106" s="4">
        <v>80</v>
      </c>
      <c r="B106" s="4">
        <v>659551.14056190755</v>
      </c>
      <c r="C106" s="4">
        <v>-22989.800561907585</v>
      </c>
    </row>
    <row r="107" spans="1:3">
      <c r="A107" s="4">
        <v>81</v>
      </c>
      <c r="B107" s="4">
        <v>639428.73103693826</v>
      </c>
      <c r="C107" s="4">
        <v>-18059.151036938303</v>
      </c>
    </row>
    <row r="108" spans="1:3">
      <c r="A108" s="4">
        <v>82</v>
      </c>
      <c r="B108" s="4">
        <v>605213.49923827616</v>
      </c>
      <c r="C108" s="4">
        <v>76994.510761723854</v>
      </c>
    </row>
    <row r="109" spans="1:3">
      <c r="A109" s="4">
        <v>83</v>
      </c>
      <c r="B109" s="4">
        <v>612099.35923529579</v>
      </c>
      <c r="C109" s="4">
        <v>115142.50076470419</v>
      </c>
    </row>
    <row r="110" spans="1:3">
      <c r="A110" s="4">
        <v>84</v>
      </c>
      <c r="B110" s="4">
        <v>573388.69552148087</v>
      </c>
      <c r="C110" s="4">
        <v>-4287.9155214808416</v>
      </c>
    </row>
    <row r="111" spans="1:3">
      <c r="A111" s="4">
        <v>85</v>
      </c>
      <c r="B111" s="4">
        <v>556691.37697948515</v>
      </c>
      <c r="C111" s="4">
        <v>17744.913020514883</v>
      </c>
    </row>
    <row r="112" spans="1:3">
      <c r="A112" s="4">
        <v>86</v>
      </c>
      <c r="B112" s="4">
        <v>589265.41934880579</v>
      </c>
      <c r="C112" s="4">
        <v>22501.300651194178</v>
      </c>
    </row>
    <row r="113" spans="1:3">
      <c r="A113" s="4">
        <v>87</v>
      </c>
      <c r="B113" s="4">
        <v>581558.96463711548</v>
      </c>
      <c r="C113" s="4">
        <v>33037.355362884467</v>
      </c>
    </row>
    <row r="114" spans="1:3">
      <c r="A114" s="4">
        <v>88</v>
      </c>
      <c r="B114" s="4">
        <v>491364.9020854804</v>
      </c>
      <c r="C114" s="4">
        <v>-40652.982085480413</v>
      </c>
    </row>
    <row r="115" spans="1:3">
      <c r="A115" s="4">
        <v>89</v>
      </c>
      <c r="B115" s="4">
        <v>697013.07318817999</v>
      </c>
      <c r="C115" s="4">
        <v>14200.386811819975</v>
      </c>
    </row>
    <row r="116" spans="1:3">
      <c r="A116" s="4">
        <v>90</v>
      </c>
      <c r="B116" s="4">
        <v>639071.95072621189</v>
      </c>
      <c r="C116" s="4">
        <v>-11900.050726211863</v>
      </c>
    </row>
    <row r="117" spans="1:3">
      <c r="A117" s="4">
        <v>91</v>
      </c>
      <c r="B117" s="4">
        <v>660050.63299692445</v>
      </c>
      <c r="C117" s="4">
        <v>79801.947003075504</v>
      </c>
    </row>
    <row r="118" spans="1:3">
      <c r="A118" s="4">
        <v>92</v>
      </c>
      <c r="B118" s="4">
        <v>578454.97593379579</v>
      </c>
      <c r="C118" s="4">
        <v>7852.2440662041772</v>
      </c>
    </row>
    <row r="119" spans="1:3">
      <c r="A119" s="4">
        <v>93</v>
      </c>
      <c r="B119" s="4">
        <v>607282.8250404892</v>
      </c>
      <c r="C119" s="4">
        <v>-21345.345040489221</v>
      </c>
    </row>
    <row r="120" spans="1:3">
      <c r="A120" s="4">
        <v>94</v>
      </c>
      <c r="B120" s="4">
        <v>677497.19019144564</v>
      </c>
      <c r="C120" s="4">
        <v>75976.359808554407</v>
      </c>
    </row>
    <row r="121" spans="1:3">
      <c r="A121" s="4">
        <v>95</v>
      </c>
      <c r="B121" s="4">
        <v>730764.49058289791</v>
      </c>
      <c r="C121" s="4">
        <v>107485.82941710204</v>
      </c>
    </row>
    <row r="122" spans="1:3">
      <c r="A122" s="4">
        <v>96</v>
      </c>
      <c r="B122" s="4">
        <v>662512.41714093671</v>
      </c>
      <c r="C122" s="4">
        <v>-54614.297140936716</v>
      </c>
    </row>
    <row r="123" spans="1:3">
      <c r="A123" s="4">
        <v>97</v>
      </c>
      <c r="B123" s="4">
        <v>674535.91361241648</v>
      </c>
      <c r="C123" s="4">
        <v>16577.706387583516</v>
      </c>
    </row>
    <row r="124" spans="1:3">
      <c r="A124" s="4">
        <v>98</v>
      </c>
      <c r="B124" s="4">
        <v>630152.4429580518</v>
      </c>
      <c r="C124" s="4">
        <v>105356.95704194822</v>
      </c>
    </row>
    <row r="125" spans="1:3">
      <c r="A125" s="4">
        <v>99</v>
      </c>
      <c r="B125" s="4">
        <v>614525.46534823533</v>
      </c>
      <c r="C125" s="4">
        <v>-8750.1353482353734</v>
      </c>
    </row>
    <row r="126" spans="1:3">
      <c r="A126" s="4">
        <v>100</v>
      </c>
      <c r="B126" s="4">
        <v>634826.26502856775</v>
      </c>
      <c r="C126" s="4">
        <v>40351.414971432299</v>
      </c>
    </row>
    <row r="127" spans="1:3">
      <c r="A127" s="4">
        <v>101</v>
      </c>
      <c r="B127" s="4">
        <v>576349.97210051003</v>
      </c>
      <c r="C127" s="4">
        <v>58831.377899489948</v>
      </c>
    </row>
    <row r="128" spans="1:3">
      <c r="A128" s="4">
        <v>102</v>
      </c>
      <c r="B128" s="4">
        <v>602430.61281461013</v>
      </c>
      <c r="C128" s="4">
        <v>-15803.672814610181</v>
      </c>
    </row>
    <row r="129" spans="1:3">
      <c r="A129" s="4">
        <v>103</v>
      </c>
      <c r="B129" s="4">
        <v>690162.89122223307</v>
      </c>
      <c r="C129" s="4">
        <v>49939.748777766945</v>
      </c>
    </row>
    <row r="130" spans="1:3">
      <c r="A130" s="4">
        <v>104</v>
      </c>
      <c r="B130" s="4">
        <v>532537.34994330746</v>
      </c>
      <c r="C130" s="4">
        <v>92976.690056692576</v>
      </c>
    </row>
    <row r="131" spans="1:3">
      <c r="A131" s="4">
        <v>105</v>
      </c>
      <c r="B131" s="4">
        <v>709500.38406360417</v>
      </c>
      <c r="C131" s="4">
        <v>17726.815936395782</v>
      </c>
    </row>
    <row r="132" spans="1:3">
      <c r="A132" s="4">
        <v>106</v>
      </c>
      <c r="B132" s="4">
        <v>758200.89647775842</v>
      </c>
      <c r="C132" s="4">
        <v>25596.993522241595</v>
      </c>
    </row>
    <row r="133" spans="1:3">
      <c r="A133" s="4">
        <v>107</v>
      </c>
      <c r="B133" s="4">
        <v>695871.37619385554</v>
      </c>
      <c r="C133" s="4">
        <v>99282.463806144428</v>
      </c>
    </row>
    <row r="134" spans="1:3">
      <c r="A134" s="4">
        <v>108</v>
      </c>
      <c r="B134" s="4">
        <v>699974.34976720915</v>
      </c>
      <c r="C134" s="4">
        <v>-34379.409767209203</v>
      </c>
    </row>
    <row r="135" spans="1:3">
      <c r="A135" s="4">
        <v>109</v>
      </c>
      <c r="B135" s="4">
        <v>695264.8496656206</v>
      </c>
      <c r="C135" s="4">
        <v>14213.540334379417</v>
      </c>
    </row>
    <row r="136" spans="1:3">
      <c r="A136" s="4">
        <v>110</v>
      </c>
      <c r="B136" s="4">
        <v>642390.00761596742</v>
      </c>
      <c r="C136" s="4">
        <v>21772.48238403257</v>
      </c>
    </row>
    <row r="137" spans="1:3">
      <c r="A137" s="4">
        <v>111</v>
      </c>
      <c r="B137" s="4">
        <v>649275.86761298706</v>
      </c>
      <c r="C137" s="4">
        <v>-15781.657612987095</v>
      </c>
    </row>
    <row r="138" spans="1:3">
      <c r="A138" s="4">
        <v>112</v>
      </c>
      <c r="B138" s="4">
        <v>591370.42318209168</v>
      </c>
      <c r="C138" s="4">
        <v>122240.73681790836</v>
      </c>
    </row>
    <row r="139" spans="1:3">
      <c r="A139" s="4">
        <v>113</v>
      </c>
      <c r="B139" s="4">
        <v>766299.80953124771</v>
      </c>
      <c r="C139" s="4">
        <v>12098.160468752263</v>
      </c>
    </row>
    <row r="140" spans="1:3">
      <c r="A140" s="4">
        <v>114</v>
      </c>
      <c r="B140" s="4">
        <v>784959.41978223878</v>
      </c>
      <c r="C140" s="4">
        <v>88420.600217761239</v>
      </c>
    </row>
    <row r="141" spans="1:3">
      <c r="A141" s="4">
        <v>115</v>
      </c>
      <c r="B141" s="4">
        <v>775540.41957906168</v>
      </c>
      <c r="C141" s="4">
        <v>-78252.519579061656</v>
      </c>
    </row>
    <row r="142" spans="1:3">
      <c r="A142" s="4">
        <v>116</v>
      </c>
      <c r="B142" s="4">
        <v>776396.69232480507</v>
      </c>
      <c r="C142" s="4">
        <v>-58321.902324805036</v>
      </c>
    </row>
    <row r="143" spans="1:3">
      <c r="A143" s="4">
        <v>117</v>
      </c>
      <c r="B143" s="4">
        <v>725448.46395307453</v>
      </c>
      <c r="C143" s="4">
        <v>-10506.033953074482</v>
      </c>
    </row>
    <row r="144" spans="1:3">
      <c r="A144" s="4">
        <v>118</v>
      </c>
      <c r="B144" s="4">
        <v>747319.0970006031</v>
      </c>
      <c r="C144" s="4">
        <v>73199.942999396939</v>
      </c>
    </row>
    <row r="145" spans="1:3">
      <c r="A145" s="4">
        <v>119</v>
      </c>
      <c r="B145" s="4">
        <v>750101.98342426901</v>
      </c>
      <c r="C145" s="4">
        <v>-65884.663424269063</v>
      </c>
    </row>
    <row r="146" spans="1:3">
      <c r="A146" s="4">
        <v>120</v>
      </c>
      <c r="B146" s="4">
        <v>725270.07379771117</v>
      </c>
      <c r="C146" s="4">
        <v>10210.116202288773</v>
      </c>
    </row>
    <row r="147" spans="1:3">
      <c r="A147" s="4">
        <v>121</v>
      </c>
      <c r="B147" s="4">
        <v>583878.0366568371</v>
      </c>
      <c r="C147" s="4">
        <v>-74393.226656837098</v>
      </c>
    </row>
    <row r="148" spans="1:3">
      <c r="A148" s="4">
        <v>122</v>
      </c>
      <c r="B148" s="4">
        <v>578205.22971628723</v>
      </c>
      <c r="C148" s="4">
        <v>76111.86028371274</v>
      </c>
    </row>
    <row r="149" spans="1:3">
      <c r="A149" s="4">
        <v>123</v>
      </c>
      <c r="B149" s="4">
        <v>604214.51436824212</v>
      </c>
      <c r="C149" s="4">
        <v>-46727.254368242109</v>
      </c>
    </row>
    <row r="150" spans="1:3">
      <c r="A150" s="4">
        <v>124</v>
      </c>
      <c r="B150" s="4">
        <v>514412.91015840613</v>
      </c>
      <c r="C150" s="4">
        <v>-73137.490158406144</v>
      </c>
    </row>
    <row r="151" spans="1:3">
      <c r="A151" s="4">
        <v>125</v>
      </c>
      <c r="B151" s="4">
        <v>817319.39396512369</v>
      </c>
      <c r="C151" s="4">
        <v>97224.776034876355</v>
      </c>
    </row>
    <row r="152" spans="1:3">
      <c r="A152" s="4">
        <v>126</v>
      </c>
      <c r="B152" s="4">
        <v>841580.45509451907</v>
      </c>
      <c r="C152" s="4">
        <v>859.21490548097063</v>
      </c>
    </row>
    <row r="153" spans="1:3">
      <c r="A153" s="4">
        <v>127</v>
      </c>
      <c r="B153" s="4">
        <v>787992.05242341314</v>
      </c>
      <c r="C153" s="4">
        <v>54165.867576586897</v>
      </c>
    </row>
    <row r="154" spans="1:3">
      <c r="A154" s="4">
        <v>128</v>
      </c>
      <c r="B154" s="4">
        <v>739719.67638213071</v>
      </c>
      <c r="C154" s="4">
        <v>-42564.376382130664</v>
      </c>
    </row>
    <row r="155" spans="1:3">
      <c r="A155" s="4">
        <v>129</v>
      </c>
      <c r="B155" s="4">
        <v>825239.91686324985</v>
      </c>
      <c r="C155" s="4">
        <v>23778.383136750199</v>
      </c>
    </row>
    <row r="156" spans="1:3">
      <c r="A156" s="4">
        <v>130</v>
      </c>
      <c r="B156" s="4">
        <v>824455.00017965166</v>
      </c>
      <c r="C156" s="4">
        <v>-22624.650179651682</v>
      </c>
    </row>
    <row r="157" spans="1:3">
      <c r="A157" s="4">
        <v>131</v>
      </c>
      <c r="B157" s="4">
        <v>789597.56382168201</v>
      </c>
      <c r="C157" s="4">
        <v>-64362.28382168198</v>
      </c>
    </row>
    <row r="158" spans="1:3">
      <c r="A158" s="4">
        <v>132</v>
      </c>
      <c r="B158" s="4">
        <v>833017.72763708537</v>
      </c>
      <c r="C158" s="4">
        <v>-21565.007637085393</v>
      </c>
    </row>
    <row r="159" spans="1:3">
      <c r="A159" s="4">
        <v>133</v>
      </c>
      <c r="B159" s="4">
        <v>554978.83148799837</v>
      </c>
      <c r="C159" s="4">
        <v>-27678.701487998362</v>
      </c>
    </row>
    <row r="160" spans="1:3">
      <c r="A160" s="4">
        <v>134</v>
      </c>
      <c r="B160" s="4">
        <v>511130.53129972325</v>
      </c>
      <c r="C160" s="4">
        <v>-110298.88129972323</v>
      </c>
    </row>
    <row r="161" spans="1:3">
      <c r="A161" s="4">
        <v>135</v>
      </c>
      <c r="B161" s="4">
        <v>575493.69935476664</v>
      </c>
      <c r="C161" s="4">
        <v>17753.550645233365</v>
      </c>
    </row>
    <row r="162" spans="1:3">
      <c r="A162" s="4">
        <v>136</v>
      </c>
      <c r="B162" s="4">
        <v>516446.55792954669</v>
      </c>
      <c r="C162" s="4">
        <v>12629.392070453265</v>
      </c>
    </row>
    <row r="163" spans="1:3">
      <c r="A163" s="4">
        <v>137</v>
      </c>
      <c r="B163" s="4">
        <v>727838.89203494135</v>
      </c>
      <c r="C163" s="4">
        <v>-94200.862034941325</v>
      </c>
    </row>
    <row r="164" spans="1:3">
      <c r="A164" s="4">
        <v>138</v>
      </c>
      <c r="B164" s="4">
        <v>669184.2089515205</v>
      </c>
      <c r="C164" s="4">
        <v>74164.631048479467</v>
      </c>
    </row>
    <row r="165" spans="1:3">
      <c r="A165" s="4">
        <v>139</v>
      </c>
      <c r="B165" s="4">
        <v>679887.61827331258</v>
      </c>
      <c r="C165" s="4">
        <v>78940.021726687439</v>
      </c>
    </row>
    <row r="166" spans="1:3">
      <c r="A166" s="4">
        <v>140</v>
      </c>
      <c r="B166" s="4">
        <v>641391.0227459335</v>
      </c>
      <c r="C166" s="4">
        <v>5168.6872540664626</v>
      </c>
    </row>
    <row r="167" spans="1:3">
      <c r="A167" s="4">
        <v>141</v>
      </c>
      <c r="B167" s="4">
        <v>675713.28863781365</v>
      </c>
      <c r="C167" s="4">
        <v>40177.241362186382</v>
      </c>
    </row>
    <row r="168" spans="1:3">
      <c r="A168" s="4">
        <v>142</v>
      </c>
      <c r="B168" s="4">
        <v>685596.10324493505</v>
      </c>
      <c r="C168" s="4">
        <v>29501.466755064903</v>
      </c>
    </row>
    <row r="169" spans="1:3">
      <c r="A169" s="4">
        <v>143</v>
      </c>
      <c r="B169" s="4">
        <v>647813.06833900884</v>
      </c>
      <c r="C169" s="4">
        <v>34826.21166099119</v>
      </c>
    </row>
    <row r="170" spans="1:3">
      <c r="A170" s="4">
        <v>144</v>
      </c>
      <c r="B170" s="4">
        <v>663654.11413526116</v>
      </c>
      <c r="C170" s="4">
        <v>31444.39586473885</v>
      </c>
    </row>
    <row r="171" spans="1:3">
      <c r="A171" s="4">
        <v>145</v>
      </c>
      <c r="B171" s="4">
        <v>600254.25291917915</v>
      </c>
      <c r="C171" s="4">
        <v>-22521.682919179206</v>
      </c>
    </row>
    <row r="172" spans="1:3">
      <c r="A172" s="4">
        <v>146</v>
      </c>
      <c r="B172" s="4">
        <v>558867.73687491613</v>
      </c>
      <c r="C172" s="4">
        <v>-21809.406874916167</v>
      </c>
    </row>
    <row r="173" spans="1:3">
      <c r="A173" s="4">
        <v>147</v>
      </c>
      <c r="B173" s="4">
        <v>598363.31727232912</v>
      </c>
      <c r="C173" s="4">
        <v>3205.5527276708744</v>
      </c>
    </row>
    <row r="174" spans="1:3">
      <c r="A174" s="4">
        <v>148</v>
      </c>
      <c r="B174" s="4">
        <v>565931.98702729901</v>
      </c>
      <c r="C174" s="4">
        <v>5032.8529727009591</v>
      </c>
    </row>
    <row r="175" spans="1:3">
      <c r="A175" s="4">
        <v>149</v>
      </c>
      <c r="B175" s="4">
        <v>636538.81052005442</v>
      </c>
      <c r="C175" s="4">
        <v>-22513.900520054391</v>
      </c>
    </row>
    <row r="176" spans="1:3">
      <c r="A176" s="4">
        <v>150</v>
      </c>
      <c r="B176" s="4">
        <v>680137.36449082103</v>
      </c>
      <c r="C176" s="4">
        <v>32730.98550917895</v>
      </c>
    </row>
    <row r="177" spans="1:3">
      <c r="A177" s="4">
        <v>151</v>
      </c>
      <c r="B177" s="4">
        <v>644423.65538710798</v>
      </c>
      <c r="C177" s="4">
        <v>52320.494612892042</v>
      </c>
    </row>
    <row r="178" spans="1:3">
      <c r="A178" s="4">
        <v>152</v>
      </c>
      <c r="B178" s="4">
        <v>657303.42460433114</v>
      </c>
      <c r="C178" s="4">
        <v>68544.565395668847</v>
      </c>
    </row>
    <row r="179" spans="1:3">
      <c r="A179" s="4">
        <v>153</v>
      </c>
      <c r="B179" s="4">
        <v>791559.85553067725</v>
      </c>
      <c r="C179" s="4">
        <v>-6531.6055306772469</v>
      </c>
    </row>
    <row r="180" spans="1:3">
      <c r="A180" s="4">
        <v>154</v>
      </c>
      <c r="B180" s="4">
        <v>686880.51236355014</v>
      </c>
      <c r="C180" s="4">
        <v>11612.157636449905</v>
      </c>
    </row>
    <row r="181" spans="1:3">
      <c r="A181" s="4">
        <v>155</v>
      </c>
      <c r="B181" s="4">
        <v>722736.93359155371</v>
      </c>
      <c r="C181" s="4">
        <v>-36906.693591553718</v>
      </c>
    </row>
    <row r="182" spans="1:3">
      <c r="A182" s="4">
        <v>156</v>
      </c>
      <c r="B182" s="4">
        <v>720881.67597577651</v>
      </c>
      <c r="C182" s="4">
        <v>-18562.735975776566</v>
      </c>
    </row>
    <row r="183" spans="1:3">
      <c r="A183" s="4">
        <v>157</v>
      </c>
      <c r="B183" s="4">
        <v>675606.25454459572</v>
      </c>
      <c r="C183" s="4">
        <v>24472.065455404227</v>
      </c>
    </row>
    <row r="184" spans="1:3">
      <c r="A184" s="4">
        <v>158</v>
      </c>
      <c r="B184" s="4">
        <v>639071.95072621189</v>
      </c>
      <c r="C184" s="4">
        <v>-37069.630726211937</v>
      </c>
    </row>
    <row r="185" spans="1:3">
      <c r="A185" s="4">
        <v>159</v>
      </c>
      <c r="B185" s="4">
        <v>696691.97090852621</v>
      </c>
      <c r="C185" s="4">
        <v>27524.099091473734</v>
      </c>
    </row>
    <row r="186" spans="1:3">
      <c r="A186" s="4">
        <v>160</v>
      </c>
      <c r="B186" s="4">
        <v>583663.96847040125</v>
      </c>
      <c r="C186" s="4">
        <v>37309.061529598781</v>
      </c>
    </row>
    <row r="187" spans="1:3">
      <c r="A187" s="4">
        <v>161</v>
      </c>
      <c r="B187" s="4">
        <v>712390.30458048801</v>
      </c>
      <c r="C187" s="4">
        <v>-61910.244580487953</v>
      </c>
    </row>
    <row r="188" spans="1:3">
      <c r="A188" s="4">
        <v>162</v>
      </c>
      <c r="B188" s="4">
        <v>695871.37619385554</v>
      </c>
      <c r="C188" s="4">
        <v>82427.503806144465</v>
      </c>
    </row>
    <row r="189" spans="1:3">
      <c r="A189" s="4">
        <v>163</v>
      </c>
      <c r="B189" s="4">
        <v>733190.59669583745</v>
      </c>
      <c r="C189" s="4">
        <v>-56093.886695837486</v>
      </c>
    </row>
    <row r="190" spans="1:3">
      <c r="A190" s="4">
        <v>164</v>
      </c>
      <c r="B190" s="4">
        <v>662441.06107879139</v>
      </c>
      <c r="C190" s="4">
        <v>29567.578921208624</v>
      </c>
    </row>
    <row r="191" spans="1:3">
      <c r="A191" s="4">
        <v>165</v>
      </c>
      <c r="B191" s="4">
        <v>779036.86662418046</v>
      </c>
      <c r="C191" s="4">
        <v>46761.043375819572</v>
      </c>
    </row>
    <row r="192" spans="1:3">
      <c r="A192" s="4">
        <v>166</v>
      </c>
      <c r="B192" s="4">
        <v>759984.79803139041</v>
      </c>
      <c r="C192" s="4">
        <v>-53699.278031390393</v>
      </c>
    </row>
    <row r="193" spans="1:3">
      <c r="A193" s="4">
        <v>167</v>
      </c>
      <c r="B193" s="4">
        <v>693980.44054700551</v>
      </c>
      <c r="C193" s="4">
        <v>-28445.740547005553</v>
      </c>
    </row>
    <row r="194" spans="1:3">
      <c r="A194" s="4">
        <v>168</v>
      </c>
      <c r="B194" s="4">
        <v>783211.19625967939</v>
      </c>
      <c r="C194" s="4">
        <v>37518.093740320648</v>
      </c>
    </row>
    <row r="195" spans="1:3">
      <c r="A195" s="4">
        <v>169</v>
      </c>
      <c r="B195" s="4">
        <v>780856.44620888517</v>
      </c>
      <c r="C195" s="4">
        <v>-41024.716208885191</v>
      </c>
    </row>
    <row r="196" spans="1:3">
      <c r="A196" s="4">
        <v>170</v>
      </c>
      <c r="B196" s="4">
        <v>716707.34634027747</v>
      </c>
      <c r="C196" s="4">
        <v>-123070.20634027745</v>
      </c>
    </row>
    <row r="197" spans="1:3">
      <c r="A197" s="4">
        <v>171</v>
      </c>
      <c r="B197" s="4">
        <v>765693.28300301288</v>
      </c>
      <c r="C197" s="4">
        <v>4009.4769969871268</v>
      </c>
    </row>
    <row r="198" spans="1:3">
      <c r="A198" s="4">
        <v>172</v>
      </c>
      <c r="B198" s="4">
        <v>720096.75929217832</v>
      </c>
      <c r="C198" s="4">
        <v>-40365.189292178373</v>
      </c>
    </row>
    <row r="199" spans="1:3">
      <c r="A199" s="4">
        <v>173</v>
      </c>
      <c r="B199" s="4">
        <v>758272.25253990362</v>
      </c>
      <c r="C199" s="4">
        <v>22071.927460096427</v>
      </c>
    </row>
    <row r="200" spans="1:3">
      <c r="A200" s="4">
        <v>174</v>
      </c>
      <c r="B200" s="4">
        <v>784638.31750258501</v>
      </c>
      <c r="C200" s="4">
        <v>-63274.207502585021</v>
      </c>
    </row>
    <row r="201" spans="1:3">
      <c r="A201" s="4">
        <v>175</v>
      </c>
      <c r="B201" s="4">
        <v>796982.91625371855</v>
      </c>
      <c r="C201" s="4">
        <v>-38844.62625371851</v>
      </c>
    </row>
    <row r="202" spans="1:3">
      <c r="A202" s="4">
        <v>176</v>
      </c>
      <c r="B202" s="4">
        <v>817533.46215155954</v>
      </c>
      <c r="C202" s="4">
        <v>-13269.462151559535</v>
      </c>
    </row>
    <row r="203" spans="1:3">
      <c r="A203" s="4">
        <v>177</v>
      </c>
      <c r="B203" s="4">
        <v>887426.7250228622</v>
      </c>
      <c r="C203" s="4">
        <v>111.02497713780031</v>
      </c>
    </row>
    <row r="204" spans="1:3">
      <c r="A204" s="4">
        <v>178</v>
      </c>
      <c r="B204" s="4">
        <v>729158.97918462905</v>
      </c>
      <c r="C204" s="4">
        <v>54423.020815370954</v>
      </c>
    </row>
    <row r="205" spans="1:3">
      <c r="A205" s="4">
        <v>179</v>
      </c>
      <c r="B205" s="4">
        <v>762874.71854827437</v>
      </c>
      <c r="C205" s="4">
        <v>19080.801451725652</v>
      </c>
    </row>
    <row r="206" spans="1:3">
      <c r="A206" s="4">
        <v>180</v>
      </c>
      <c r="B206" s="4">
        <v>803155.21562928543</v>
      </c>
      <c r="C206" s="4">
        <v>94875.824370714603</v>
      </c>
    </row>
    <row r="207" spans="1:3">
      <c r="A207" s="4">
        <v>181</v>
      </c>
      <c r="B207" s="4">
        <v>844363.3415181851</v>
      </c>
      <c r="C207" s="4">
        <v>10977.938481814926</v>
      </c>
    </row>
    <row r="208" spans="1:3">
      <c r="A208" s="4">
        <v>182</v>
      </c>
      <c r="B208" s="4">
        <v>777752.45750556537</v>
      </c>
      <c r="C208" s="4">
        <v>-26358.577505565365</v>
      </c>
    </row>
    <row r="209" spans="1:3">
      <c r="A209" s="4">
        <v>183</v>
      </c>
      <c r="B209" s="4">
        <v>796483.42381870165</v>
      </c>
      <c r="C209" s="4">
        <v>-35406.343818701687</v>
      </c>
    </row>
    <row r="210" spans="1:3">
      <c r="A210" s="4">
        <v>184</v>
      </c>
      <c r="B210" s="4">
        <v>829628.31468518462</v>
      </c>
      <c r="C210" s="4">
        <v>-9967.7246851846576</v>
      </c>
    </row>
    <row r="211" spans="1:3">
      <c r="A211" s="4">
        <v>185</v>
      </c>
      <c r="B211" s="4">
        <v>663475.72397989803</v>
      </c>
      <c r="C211" s="4">
        <v>18379.836020102026</v>
      </c>
    </row>
    <row r="212" spans="1:3">
      <c r="A212" s="4">
        <v>186</v>
      </c>
      <c r="B212" s="4">
        <v>633791.60212746111</v>
      </c>
      <c r="C212" s="4">
        <v>44519.56787253893</v>
      </c>
    </row>
    <row r="213" spans="1:3">
      <c r="A213" s="4">
        <v>187</v>
      </c>
      <c r="B213" s="4">
        <v>678888.63340327865</v>
      </c>
      <c r="C213" s="4">
        <v>87018.316596721299</v>
      </c>
    </row>
    <row r="214" spans="1:3">
      <c r="A214" s="4">
        <v>188</v>
      </c>
      <c r="B214" s="4">
        <v>729408.7254021375</v>
      </c>
      <c r="C214" s="4">
        <v>-16862.345402137493</v>
      </c>
    </row>
    <row r="215" spans="1:3">
      <c r="A215" s="4">
        <v>189</v>
      </c>
      <c r="B215" s="4">
        <v>571497.75987463084</v>
      </c>
      <c r="C215" s="4">
        <v>54496.070125369122</v>
      </c>
    </row>
    <row r="216" spans="1:3">
      <c r="A216" s="4">
        <v>190</v>
      </c>
      <c r="B216" s="4">
        <v>528898.19077389815</v>
      </c>
      <c r="C216" s="4">
        <v>22064.739226101898</v>
      </c>
    </row>
    <row r="217" spans="1:3">
      <c r="A217" s="4">
        <v>191</v>
      </c>
      <c r="B217" s="4">
        <v>491650.32633406157</v>
      </c>
      <c r="C217" s="4">
        <v>-48374.736334061541</v>
      </c>
    </row>
    <row r="218" spans="1:3">
      <c r="A218" s="4">
        <v>192</v>
      </c>
      <c r="B218" s="4">
        <v>604214.51436824212</v>
      </c>
      <c r="C218" s="4">
        <v>-50202.44436824217</v>
      </c>
    </row>
    <row r="219" spans="1:3">
      <c r="A219" s="4">
        <v>193</v>
      </c>
      <c r="B219" s="4">
        <v>666793.78086965356</v>
      </c>
      <c r="C219" s="4">
        <v>-23364.930869653588</v>
      </c>
    </row>
    <row r="220" spans="1:3">
      <c r="A220" s="4">
        <v>194</v>
      </c>
      <c r="B220" s="4">
        <v>630152.4429580518</v>
      </c>
      <c r="C220" s="4">
        <v>-18228.172958051786</v>
      </c>
    </row>
    <row r="221" spans="1:3">
      <c r="A221" s="4">
        <v>195</v>
      </c>
      <c r="B221" s="4">
        <v>581380.57448175224</v>
      </c>
      <c r="C221" s="4">
        <v>-21958.554481752217</v>
      </c>
    </row>
    <row r="222" spans="1:3">
      <c r="A222" s="4">
        <v>196</v>
      </c>
      <c r="B222" s="4">
        <v>558261.2103466813</v>
      </c>
      <c r="C222" s="4">
        <v>-108796.1503466813</v>
      </c>
    </row>
    <row r="223" spans="1:3">
      <c r="A223" s="4">
        <v>197</v>
      </c>
      <c r="B223" s="4">
        <v>623730.39736497658</v>
      </c>
      <c r="C223" s="4">
        <v>67717.032635023468</v>
      </c>
    </row>
    <row r="224" spans="1:3">
      <c r="A224" s="4">
        <v>198</v>
      </c>
      <c r="B224" s="4">
        <v>602180.86659710167</v>
      </c>
      <c r="C224" s="4">
        <v>-28114.256597101688</v>
      </c>
    </row>
    <row r="225" spans="1:3">
      <c r="A225" s="4">
        <v>199</v>
      </c>
      <c r="B225" s="4">
        <v>625228.87467002741</v>
      </c>
      <c r="C225" s="4">
        <v>-46279.034670027439</v>
      </c>
    </row>
    <row r="226" spans="1:3">
      <c r="A226" s="4">
        <v>200</v>
      </c>
      <c r="B226" s="4">
        <v>645315.60616392398</v>
      </c>
      <c r="C226" s="4">
        <v>90471.033836076036</v>
      </c>
    </row>
    <row r="227" spans="1:3">
      <c r="A227" s="4">
        <v>201</v>
      </c>
      <c r="B227" s="4">
        <v>658873.2579715274</v>
      </c>
      <c r="C227" s="4">
        <v>-59968.357971527381</v>
      </c>
    </row>
    <row r="228" spans="1:3">
      <c r="A228" s="4">
        <v>202</v>
      </c>
      <c r="B228" s="4">
        <v>674357.52345705335</v>
      </c>
      <c r="C228" s="4">
        <v>113357.98654294666</v>
      </c>
    </row>
    <row r="229" spans="1:3">
      <c r="A229" s="4">
        <v>203</v>
      </c>
      <c r="B229" s="4">
        <v>692446.28521088208</v>
      </c>
      <c r="C229" s="4">
        <v>-85361.365210882039</v>
      </c>
    </row>
    <row r="230" spans="1:3">
      <c r="A230" s="4">
        <v>204</v>
      </c>
      <c r="B230" s="4">
        <v>661013.93983588577</v>
      </c>
      <c r="C230" s="4">
        <v>-10218.449835885782</v>
      </c>
    </row>
    <row r="231" spans="1:3">
      <c r="A231" s="4">
        <v>205</v>
      </c>
      <c r="B231" s="4">
        <v>784495.60537829436</v>
      </c>
      <c r="C231" s="4">
        <v>40564.914621705655</v>
      </c>
    </row>
    <row r="232" spans="1:3">
      <c r="A232" s="4">
        <v>206</v>
      </c>
      <c r="B232" s="4">
        <v>727375.07763099705</v>
      </c>
      <c r="C232" s="4">
        <v>68089.392369002919</v>
      </c>
    </row>
    <row r="233" spans="1:3">
      <c r="A233" s="4">
        <v>207</v>
      </c>
      <c r="B233" s="4">
        <v>777609.74538127473</v>
      </c>
      <c r="C233" s="4">
        <v>-105741.15538127476</v>
      </c>
    </row>
    <row r="234" spans="1:3">
      <c r="A234" s="4">
        <v>208</v>
      </c>
      <c r="B234" s="4">
        <v>742645.27493008715</v>
      </c>
      <c r="C234" s="4">
        <v>-66727.644930087146</v>
      </c>
    </row>
    <row r="235" spans="1:3">
      <c r="A235" s="4">
        <v>209</v>
      </c>
      <c r="B235" s="4">
        <v>807650.64754443802</v>
      </c>
      <c r="C235" s="4">
        <v>2795.8824555620085</v>
      </c>
    </row>
    <row r="236" spans="1:3">
      <c r="A236" s="4">
        <v>210</v>
      </c>
      <c r="B236" s="4">
        <v>783853.40081898682</v>
      </c>
      <c r="C236" s="4">
        <v>-92565.210818986874</v>
      </c>
    </row>
    <row r="237" spans="1:3">
      <c r="A237" s="4">
        <v>211</v>
      </c>
      <c r="B237" s="4">
        <v>905586.84283883614</v>
      </c>
      <c r="C237" s="4">
        <v>41246.697161163902</v>
      </c>
    </row>
    <row r="238" spans="1:3">
      <c r="A238" s="4">
        <v>212</v>
      </c>
      <c r="B238" s="4">
        <v>794342.74195434316</v>
      </c>
      <c r="C238" s="4">
        <v>-32379.511954343179</v>
      </c>
    </row>
    <row r="239" spans="1:3">
      <c r="A239" s="4">
        <v>213</v>
      </c>
      <c r="B239" s="4">
        <v>785530.268279401</v>
      </c>
      <c r="C239" s="4">
        <v>26622.331720598973</v>
      </c>
    </row>
    <row r="240" spans="1:3">
      <c r="A240" s="4">
        <v>214</v>
      </c>
      <c r="B240" s="4">
        <v>782212.21138964547</v>
      </c>
      <c r="C240" s="4">
        <v>22763.288610354532</v>
      </c>
    </row>
    <row r="241" spans="1:3">
      <c r="A241" s="4">
        <v>215</v>
      </c>
      <c r="B241" s="4">
        <v>790489.514598498</v>
      </c>
      <c r="C241" s="4">
        <v>-38167.794598498032</v>
      </c>
    </row>
    <row r="242" spans="1:3">
      <c r="A242" s="4">
        <v>216</v>
      </c>
      <c r="B242" s="4">
        <v>846860.80369326996</v>
      </c>
      <c r="C242" s="4">
        <v>-9952.5636932699708</v>
      </c>
    </row>
    <row r="243" spans="1:3">
      <c r="A243" s="4">
        <v>217</v>
      </c>
      <c r="B243" s="4">
        <v>638857.88253977604</v>
      </c>
      <c r="C243" s="4">
        <v>35431.217460223939</v>
      </c>
    </row>
    <row r="244" spans="1:3">
      <c r="A244" s="4">
        <v>218</v>
      </c>
      <c r="B244" s="4">
        <v>625300.23073217273</v>
      </c>
      <c r="C244" s="4">
        <v>-2407.8107321726857</v>
      </c>
    </row>
    <row r="245" spans="1:3">
      <c r="A245" s="4">
        <v>219</v>
      </c>
      <c r="B245" s="4">
        <v>605784.34773543838</v>
      </c>
      <c r="C245" s="4">
        <v>67564.212264561676</v>
      </c>
    </row>
    <row r="246" spans="1:3">
      <c r="A246" s="4">
        <v>220</v>
      </c>
      <c r="B246" s="4">
        <v>613312.41229176545</v>
      </c>
      <c r="C246" s="4">
        <v>-7034.1122917653993</v>
      </c>
    </row>
    <row r="247" spans="1:3">
      <c r="A247" s="4">
        <v>221</v>
      </c>
      <c r="B247" s="4">
        <v>706539.10748457501</v>
      </c>
      <c r="C247" s="4">
        <v>5680.7025154250441</v>
      </c>
    </row>
    <row r="248" spans="1:3">
      <c r="A248" s="4">
        <v>222</v>
      </c>
      <c r="B248" s="4">
        <v>710570.72499578341</v>
      </c>
      <c r="C248" s="4">
        <v>-37900.184995783377</v>
      </c>
    </row>
    <row r="249" spans="1:3">
      <c r="A249" s="4">
        <v>223</v>
      </c>
      <c r="B249" s="4">
        <v>727553.4677863603</v>
      </c>
      <c r="C249" s="4">
        <v>5114.4522136397427</v>
      </c>
    </row>
    <row r="250" spans="1:3">
      <c r="A250" s="4">
        <v>224</v>
      </c>
      <c r="B250" s="4">
        <v>759413.94953422819</v>
      </c>
      <c r="C250" s="4">
        <v>-35882.549534228165</v>
      </c>
    </row>
    <row r="251" spans="1:3">
      <c r="A251" s="4">
        <v>225</v>
      </c>
      <c r="B251" s="4">
        <v>614561.14337930793</v>
      </c>
      <c r="C251" s="4">
        <v>27003.456620692043</v>
      </c>
    </row>
    <row r="252" spans="1:3">
      <c r="A252" s="4">
        <v>226</v>
      </c>
      <c r="B252" s="4">
        <v>547807.54724239768</v>
      </c>
      <c r="C252" s="4">
        <v>-11262.057242397685</v>
      </c>
    </row>
    <row r="253" spans="1:3">
      <c r="A253" s="4">
        <v>227</v>
      </c>
      <c r="B253" s="4">
        <v>584555.91924721724</v>
      </c>
      <c r="C253" s="4">
        <v>-56874.359247217188</v>
      </c>
    </row>
    <row r="254" spans="1:3">
      <c r="A254" s="4">
        <v>228</v>
      </c>
      <c r="B254" s="4">
        <v>495467.87565883406</v>
      </c>
      <c r="C254" s="4">
        <v>34131.064341165882</v>
      </c>
    </row>
    <row r="255" spans="1:3">
      <c r="A255" s="4">
        <v>229</v>
      </c>
      <c r="B255" s="4">
        <v>658944.61403367261</v>
      </c>
      <c r="C255" s="4">
        <v>-87981.304033672553</v>
      </c>
    </row>
    <row r="256" spans="1:3">
      <c r="A256" s="4">
        <v>230</v>
      </c>
      <c r="B256" s="4">
        <v>766121.41937588458</v>
      </c>
      <c r="C256" s="4">
        <v>104815.98062411544</v>
      </c>
    </row>
    <row r="257" spans="1:3">
      <c r="A257" s="4">
        <v>231</v>
      </c>
      <c r="B257" s="4">
        <v>679923.29630438518</v>
      </c>
      <c r="C257" s="4">
        <v>-82954.026304385159</v>
      </c>
    </row>
    <row r="258" spans="1:3">
      <c r="A258" s="4">
        <v>232</v>
      </c>
      <c r="B258" s="4">
        <v>641105.59849735245</v>
      </c>
      <c r="C258" s="4">
        <v>6407.2515026475303</v>
      </c>
    </row>
    <row r="259" spans="1:3">
      <c r="A259" s="4">
        <v>233</v>
      </c>
      <c r="B259" s="4">
        <v>598541.70742769237</v>
      </c>
      <c r="C259" s="4">
        <v>59530.432572307647</v>
      </c>
    </row>
    <row r="260" spans="1:3">
      <c r="A260" s="4">
        <v>234</v>
      </c>
      <c r="B260" s="4">
        <v>636253.38627147325</v>
      </c>
      <c r="C260" s="4">
        <v>87051.723728526733</v>
      </c>
    </row>
    <row r="261" spans="1:3">
      <c r="A261" s="4">
        <v>235</v>
      </c>
      <c r="B261" s="4">
        <v>641890.51518095052</v>
      </c>
      <c r="C261" s="4">
        <v>-1223.9851809504908</v>
      </c>
    </row>
    <row r="262" spans="1:3">
      <c r="A262" s="4">
        <v>236</v>
      </c>
      <c r="B262" s="4">
        <v>666508.35662107239</v>
      </c>
      <c r="C262" s="4">
        <v>4121.1233789275866</v>
      </c>
    </row>
    <row r="263" spans="1:3">
      <c r="A263" s="4">
        <v>237</v>
      </c>
      <c r="B263" s="4">
        <v>799908.5148016751</v>
      </c>
      <c r="C263" s="4">
        <v>-78829.164801675128</v>
      </c>
    </row>
    <row r="264" spans="1:3">
      <c r="A264" s="4">
        <v>238</v>
      </c>
      <c r="B264" s="4">
        <v>803048.18153606751</v>
      </c>
      <c r="C264" s="4">
        <v>7306.8384639325086</v>
      </c>
    </row>
    <row r="265" spans="1:3">
      <c r="A265" s="4">
        <v>239</v>
      </c>
      <c r="B265" s="4">
        <v>792558.84040071117</v>
      </c>
      <c r="C265" s="4">
        <v>-30639.590400711168</v>
      </c>
    </row>
    <row r="266" spans="1:3">
      <c r="A266" s="4">
        <v>240</v>
      </c>
      <c r="B266" s="4">
        <v>778715.76434452669</v>
      </c>
      <c r="C266" s="4">
        <v>-41645.584344526636</v>
      </c>
    </row>
    <row r="267" spans="1:3">
      <c r="A267" s="4">
        <v>241</v>
      </c>
      <c r="B267" s="4">
        <v>733797.12322407239</v>
      </c>
      <c r="C267" s="4">
        <v>43195.80677592766</v>
      </c>
    </row>
    <row r="268" spans="1:3">
      <c r="A268" s="4">
        <v>242</v>
      </c>
      <c r="B268" s="4">
        <v>647920.10243222676</v>
      </c>
      <c r="C268" s="4">
        <v>28417.30756777327</v>
      </c>
    </row>
    <row r="269" spans="1:3">
      <c r="A269" s="4">
        <v>243</v>
      </c>
      <c r="B269" s="4">
        <v>805902.42402187875</v>
      </c>
      <c r="C269" s="4">
        <v>22317.245978121297</v>
      </c>
    </row>
    <row r="270" spans="1:3">
      <c r="A270" s="4">
        <v>244</v>
      </c>
      <c r="B270" s="4">
        <v>731977.54363936768</v>
      </c>
      <c r="C270" s="4">
        <v>31182.376360632363</v>
      </c>
    </row>
    <row r="271" spans="1:3">
      <c r="A271" s="4">
        <v>245</v>
      </c>
      <c r="B271" s="4">
        <v>765158.11253692326</v>
      </c>
      <c r="C271" s="4">
        <v>36843.56746307679</v>
      </c>
    </row>
    <row r="272" spans="1:3">
      <c r="A272" s="4">
        <v>246</v>
      </c>
      <c r="B272" s="4">
        <v>757986.82829132257</v>
      </c>
      <c r="C272" s="4">
        <v>-7515.4882913226029</v>
      </c>
    </row>
    <row r="273" spans="1:3">
      <c r="A273" s="4">
        <v>247</v>
      </c>
      <c r="B273" s="4">
        <v>709500.38406360417</v>
      </c>
      <c r="C273" s="4">
        <v>-30269.524063604185</v>
      </c>
    </row>
    <row r="274" spans="1:3">
      <c r="A274" s="4">
        <v>248</v>
      </c>
      <c r="B274" s="4">
        <v>736080.51721272129</v>
      </c>
      <c r="C274" s="4">
        <v>-56191.777212721296</v>
      </c>
    </row>
    <row r="275" spans="1:3">
      <c r="A275" s="4">
        <v>249</v>
      </c>
      <c r="B275" s="4">
        <v>584662.95334043517</v>
      </c>
      <c r="C275" s="4">
        <v>22120.716659564874</v>
      </c>
    </row>
    <row r="276" spans="1:3">
      <c r="A276" s="4">
        <v>250</v>
      </c>
      <c r="B276" s="4">
        <v>652094.43206772569</v>
      </c>
      <c r="C276" s="4">
        <v>-9343.0120677256491</v>
      </c>
    </row>
    <row r="277" spans="1:3">
      <c r="A277" s="4">
        <v>251</v>
      </c>
      <c r="B277" s="4">
        <v>671967.09537518641</v>
      </c>
      <c r="C277" s="4">
        <v>-24013.315375186387</v>
      </c>
    </row>
    <row r="278" spans="1:3">
      <c r="A278" s="4">
        <v>252</v>
      </c>
      <c r="B278" s="4">
        <v>690448.31547081424</v>
      </c>
      <c r="C278" s="4">
        <v>38992.134529185714</v>
      </c>
    </row>
    <row r="279" spans="1:3">
      <c r="A279" s="4">
        <v>253</v>
      </c>
      <c r="B279" s="4">
        <v>688378.98966860096</v>
      </c>
      <c r="C279" s="4">
        <v>76570.01033139904</v>
      </c>
    </row>
    <row r="280" spans="1:3">
      <c r="A280" s="4">
        <v>254</v>
      </c>
      <c r="B280" s="4">
        <v>691019.16396797635</v>
      </c>
      <c r="C280" s="4">
        <v>108027.7760320236</v>
      </c>
    </row>
    <row r="281" spans="1:3">
      <c r="A281" s="4">
        <v>255</v>
      </c>
      <c r="B281" s="4">
        <v>647670.35621471819</v>
      </c>
      <c r="C281" s="4">
        <v>72409.183785281843</v>
      </c>
    </row>
    <row r="282" spans="1:3">
      <c r="A282" s="4">
        <v>256</v>
      </c>
      <c r="B282" s="4">
        <v>652879.34875132376</v>
      </c>
      <c r="C282" s="4">
        <v>-40489.208751323749</v>
      </c>
    </row>
    <row r="283" spans="1:3">
      <c r="A283" s="4">
        <v>257</v>
      </c>
      <c r="B283" s="4">
        <v>737721.70664206275</v>
      </c>
      <c r="C283" s="4">
        <v>102386.41335793724</v>
      </c>
    </row>
    <row r="284" spans="1:3">
      <c r="A284" s="4">
        <v>258</v>
      </c>
      <c r="B284" s="4">
        <v>716635.99027813226</v>
      </c>
      <c r="C284" s="4">
        <v>-18747.900278132292</v>
      </c>
    </row>
    <row r="285" spans="1:3">
      <c r="A285" s="4">
        <v>259</v>
      </c>
      <c r="B285" s="4">
        <v>754454.70321513107</v>
      </c>
      <c r="C285" s="4">
        <v>-8339.1132151311031</v>
      </c>
    </row>
    <row r="286" spans="1:3">
      <c r="A286" s="4">
        <v>260</v>
      </c>
      <c r="B286" s="4">
        <v>725983.63441916415</v>
      </c>
      <c r="C286" s="4">
        <v>50126.685580835794</v>
      </c>
    </row>
    <row r="287" spans="1:3">
      <c r="A287" s="4">
        <v>261</v>
      </c>
      <c r="B287" s="4">
        <v>555121.54361228889</v>
      </c>
      <c r="C287" s="4">
        <v>-26268.923612288898</v>
      </c>
    </row>
    <row r="288" spans="1:3">
      <c r="A288" s="4">
        <v>262</v>
      </c>
      <c r="B288" s="4">
        <v>617058.60555439279</v>
      </c>
      <c r="C288" s="4">
        <v>-11307.275554392836</v>
      </c>
    </row>
    <row r="289" spans="1:3">
      <c r="A289" s="4">
        <v>263</v>
      </c>
      <c r="B289" s="4">
        <v>621304.29125203693</v>
      </c>
      <c r="C289" s="4">
        <v>56336.358747963095</v>
      </c>
    </row>
    <row r="290" spans="1:3">
      <c r="A290" s="4">
        <v>264</v>
      </c>
      <c r="B290" s="4">
        <v>589907.62390811334</v>
      </c>
      <c r="C290" s="4">
        <v>46705.606091886642</v>
      </c>
    </row>
    <row r="291" spans="1:3">
      <c r="A291" s="4">
        <v>265</v>
      </c>
      <c r="B291" s="4">
        <v>707716.48250997218</v>
      </c>
      <c r="C291" s="4">
        <v>1268.7074900277657</v>
      </c>
    </row>
    <row r="292" spans="1:3">
      <c r="A292" s="4">
        <v>266</v>
      </c>
      <c r="B292" s="4">
        <v>736437.29752344778</v>
      </c>
      <c r="C292" s="4">
        <v>31355.642476552166</v>
      </c>
    </row>
    <row r="293" spans="1:3">
      <c r="A293" s="4">
        <v>267</v>
      </c>
      <c r="B293" s="4">
        <v>730728.81255182531</v>
      </c>
      <c r="C293" s="4">
        <v>14851.697448174702</v>
      </c>
    </row>
    <row r="294" spans="1:3">
      <c r="A294" s="4">
        <v>268</v>
      </c>
      <c r="B294" s="4">
        <v>704719.52789987042</v>
      </c>
      <c r="C294" s="4">
        <v>57608.78210012964</v>
      </c>
    </row>
    <row r="295" spans="1:3">
      <c r="A295" s="4">
        <v>269</v>
      </c>
      <c r="B295" s="4">
        <v>733690.08913085447</v>
      </c>
      <c r="C295" s="4">
        <v>-73056.099130854476</v>
      </c>
    </row>
    <row r="296" spans="1:3">
      <c r="A296" s="4">
        <v>270</v>
      </c>
      <c r="B296" s="4">
        <v>732477.03607438458</v>
      </c>
      <c r="C296" s="4">
        <v>6897.5239256154746</v>
      </c>
    </row>
    <row r="297" spans="1:3">
      <c r="A297" s="4">
        <v>271</v>
      </c>
      <c r="B297" s="4">
        <v>810041.07562630507</v>
      </c>
      <c r="C297" s="4">
        <v>-10284.615626305109</v>
      </c>
    </row>
    <row r="298" spans="1:3">
      <c r="A298" s="4">
        <v>272</v>
      </c>
      <c r="B298" s="4">
        <v>712069.20230083424</v>
      </c>
      <c r="C298" s="4">
        <v>-118726.20230083424</v>
      </c>
    </row>
    <row r="299" spans="1:3">
      <c r="A299" s="4">
        <v>273</v>
      </c>
      <c r="B299" s="4">
        <v>649382.90170620498</v>
      </c>
      <c r="C299" s="4">
        <v>-4342.9317062050104</v>
      </c>
    </row>
    <row r="300" spans="1:3">
      <c r="A300" s="4">
        <v>274</v>
      </c>
      <c r="B300" s="4">
        <v>565075.71428155561</v>
      </c>
      <c r="C300" s="4">
        <v>-3478.3842815556563</v>
      </c>
    </row>
    <row r="301" spans="1:3">
      <c r="A301" s="4">
        <v>275</v>
      </c>
      <c r="B301" s="4">
        <v>652165.78812987101</v>
      </c>
      <c r="C301" s="4">
        <v>-16328.048129871022</v>
      </c>
    </row>
    <row r="302" spans="1:3">
      <c r="A302" s="4">
        <v>276</v>
      </c>
      <c r="B302" s="4">
        <v>656661.2200450236</v>
      </c>
      <c r="C302" s="4">
        <v>30076.649954976398</v>
      </c>
    </row>
    <row r="303" spans="1:3">
      <c r="A303" s="4">
        <v>277</v>
      </c>
      <c r="B303" s="4">
        <v>751957.24104004633</v>
      </c>
      <c r="C303" s="4">
        <v>-78880.901040046359</v>
      </c>
    </row>
    <row r="304" spans="1:3">
      <c r="A304" s="4">
        <v>278</v>
      </c>
      <c r="B304" s="4">
        <v>731870.50954614975</v>
      </c>
      <c r="C304" s="4">
        <v>6677.910453850287</v>
      </c>
    </row>
    <row r="305" spans="1:3">
      <c r="A305" s="4">
        <v>279</v>
      </c>
      <c r="B305" s="4">
        <v>779072.54465525306</v>
      </c>
      <c r="C305" s="4">
        <v>-22452.774655253044</v>
      </c>
    </row>
    <row r="306" spans="1:3">
      <c r="A306" s="4">
        <v>280</v>
      </c>
      <c r="B306" s="4">
        <v>771401.76797463535</v>
      </c>
      <c r="C306" s="4">
        <v>-10279.347974635311</v>
      </c>
    </row>
    <row r="307" spans="1:3">
      <c r="A307" s="4">
        <v>281</v>
      </c>
      <c r="B307" s="4">
        <v>589907.62390811334</v>
      </c>
      <c r="C307" s="4">
        <v>-65008.05390811339</v>
      </c>
    </row>
    <row r="308" spans="1:3">
      <c r="A308" s="4">
        <v>282</v>
      </c>
      <c r="B308" s="4">
        <v>601788.40825530258</v>
      </c>
      <c r="C308" s="4">
        <v>-46230.638255302561</v>
      </c>
    </row>
    <row r="309" spans="1:3">
      <c r="A309" s="4">
        <v>283</v>
      </c>
      <c r="B309" s="4">
        <v>651380.87144627282</v>
      </c>
      <c r="C309" s="4">
        <v>62702.808553727227</v>
      </c>
    </row>
    <row r="310" spans="1:3">
      <c r="A310" s="4">
        <v>284</v>
      </c>
      <c r="B310" s="4">
        <v>554407.98299083614</v>
      </c>
      <c r="C310" s="4">
        <v>-56968.162990836136</v>
      </c>
    </row>
    <row r="311" spans="1:3">
      <c r="A311" s="4">
        <v>285</v>
      </c>
      <c r="B311" s="4">
        <v>644851.79175997968</v>
      </c>
      <c r="C311" s="4">
        <v>-8076.1317599796457</v>
      </c>
    </row>
    <row r="312" spans="1:3">
      <c r="A312" s="4">
        <v>286</v>
      </c>
      <c r="B312" s="4">
        <v>606497.90835689125</v>
      </c>
      <c r="C312" s="4">
        <v>26511.621643108781</v>
      </c>
    </row>
    <row r="313" spans="1:3">
      <c r="A313" s="4">
        <v>287</v>
      </c>
      <c r="B313" s="4">
        <v>594902.54825828306</v>
      </c>
      <c r="C313" s="4">
        <v>15046.451741716941</v>
      </c>
    </row>
    <row r="314" spans="1:3">
      <c r="A314" s="4">
        <v>288</v>
      </c>
      <c r="B314" s="4">
        <v>592476.4421453434</v>
      </c>
      <c r="C314" s="4">
        <v>-44372.742145343451</v>
      </c>
    </row>
    <row r="315" spans="1:3">
      <c r="A315" s="4">
        <v>289</v>
      </c>
      <c r="B315" s="4">
        <v>749102.99855423509</v>
      </c>
      <c r="C315" s="4">
        <v>-19678.57855423505</v>
      </c>
    </row>
    <row r="316" spans="1:3">
      <c r="A316" s="4">
        <v>290</v>
      </c>
      <c r="B316" s="4">
        <v>724485.15711411322</v>
      </c>
      <c r="C316" s="4">
        <v>-28223.667114113225</v>
      </c>
    </row>
    <row r="317" spans="1:3">
      <c r="A317" s="4">
        <v>291</v>
      </c>
      <c r="B317" s="4">
        <v>742538.24083686923</v>
      </c>
      <c r="C317" s="4">
        <v>70778.469163130736</v>
      </c>
    </row>
    <row r="318" spans="1:3">
      <c r="A318" s="4">
        <v>292</v>
      </c>
      <c r="B318" s="4">
        <v>699118.07702146587</v>
      </c>
      <c r="C318" s="4">
        <v>2950.8429785341723</v>
      </c>
    </row>
    <row r="319" spans="1:3">
      <c r="A319" s="4">
        <v>293</v>
      </c>
      <c r="B319" s="4">
        <v>583200.15406645695</v>
      </c>
      <c r="C319" s="4">
        <v>-36976.454066456994</v>
      </c>
    </row>
    <row r="320" spans="1:3">
      <c r="A320" s="4">
        <v>294</v>
      </c>
      <c r="B320" s="4">
        <v>530539.38020323962</v>
      </c>
      <c r="C320" s="4">
        <v>2581.8797967603896</v>
      </c>
    </row>
    <row r="321" spans="1:3">
      <c r="A321" s="4">
        <v>295</v>
      </c>
      <c r="B321" s="4">
        <v>490330.23918437387</v>
      </c>
      <c r="C321" s="4">
        <v>8640.0808156261337</v>
      </c>
    </row>
    <row r="322" spans="1:3">
      <c r="A322" s="4">
        <v>296</v>
      </c>
      <c r="B322" s="4">
        <v>507883.83047211292</v>
      </c>
      <c r="C322" s="4">
        <v>-20145.570472112915</v>
      </c>
    </row>
    <row r="323" spans="1:3">
      <c r="A323" s="4">
        <v>297</v>
      </c>
      <c r="B323" s="4">
        <v>656768.25413824152</v>
      </c>
      <c r="C323" s="4">
        <v>11691.115861758473</v>
      </c>
    </row>
    <row r="324" spans="1:3">
      <c r="A324" s="4">
        <v>298</v>
      </c>
      <c r="B324" s="4">
        <v>657018.00035575009</v>
      </c>
      <c r="C324" s="4">
        <v>106144.44964424986</v>
      </c>
    </row>
    <row r="325" spans="1:3">
      <c r="A325" s="4">
        <v>299</v>
      </c>
      <c r="B325" s="4">
        <v>621161.5791277464</v>
      </c>
      <c r="C325" s="4">
        <v>-22144.249127746443</v>
      </c>
    </row>
    <row r="326" spans="1:3">
      <c r="A326" s="4">
        <v>300</v>
      </c>
      <c r="B326" s="4">
        <v>498571.86436215381</v>
      </c>
      <c r="C326" s="4">
        <v>-96989.28436215379</v>
      </c>
    </row>
    <row r="327" spans="1:3">
      <c r="A327" s="4">
        <v>301</v>
      </c>
      <c r="B327" s="4">
        <v>740825.69534538244</v>
      </c>
      <c r="C327" s="4">
        <v>-37012.705345382448</v>
      </c>
    </row>
    <row r="328" spans="1:3">
      <c r="A328" s="4">
        <v>302</v>
      </c>
      <c r="B328" s="4">
        <v>731442.37317327806</v>
      </c>
      <c r="C328" s="4">
        <v>-7095.6431732780766</v>
      </c>
    </row>
    <row r="329" spans="1:3">
      <c r="A329" s="4">
        <v>303</v>
      </c>
      <c r="B329" s="4">
        <v>741396.54384254478</v>
      </c>
      <c r="C329" s="4">
        <v>-10506.53384254477</v>
      </c>
    </row>
    <row r="330" spans="1:3">
      <c r="A330" s="4">
        <v>304</v>
      </c>
      <c r="B330" s="4">
        <v>738363.9112013703</v>
      </c>
      <c r="C330" s="4">
        <v>42217.038798629656</v>
      </c>
    </row>
    <row r="331" spans="1:3">
      <c r="A331" s="4">
        <v>305</v>
      </c>
      <c r="B331" s="4">
        <v>679530.8379625862</v>
      </c>
      <c r="C331" s="4">
        <v>48426.642037413782</v>
      </c>
    </row>
    <row r="332" spans="1:3">
      <c r="A332" s="4">
        <v>306</v>
      </c>
      <c r="B332" s="4">
        <v>653485.87527955859</v>
      </c>
      <c r="C332" s="4">
        <v>-115109.87527955859</v>
      </c>
    </row>
    <row r="333" spans="1:3">
      <c r="A333" s="4">
        <v>307</v>
      </c>
      <c r="B333" s="4">
        <v>671217.85672266094</v>
      </c>
      <c r="C333" s="4">
        <v>-5875.3667226609541</v>
      </c>
    </row>
    <row r="334" spans="1:3">
      <c r="A334" s="4">
        <v>308</v>
      </c>
      <c r="B334" s="4">
        <v>674714.30376777973</v>
      </c>
      <c r="C334" s="4">
        <v>-23550.123767779674</v>
      </c>
    </row>
    <row r="335" spans="1:3">
      <c r="A335" s="4">
        <v>309</v>
      </c>
      <c r="B335" s="4">
        <v>651880.36388128984</v>
      </c>
      <c r="C335" s="4">
        <v>-23342.063881289796</v>
      </c>
    </row>
    <row r="336" spans="1:3">
      <c r="A336" s="4">
        <v>310</v>
      </c>
      <c r="B336" s="4">
        <v>634968.97715285828</v>
      </c>
      <c r="C336" s="4">
        <v>-98444.137152858311</v>
      </c>
    </row>
    <row r="337" spans="1:3">
      <c r="A337" s="4">
        <v>311</v>
      </c>
      <c r="B337" s="4">
        <v>640285.00378268166</v>
      </c>
      <c r="C337" s="4">
        <v>-18607.703782681609</v>
      </c>
    </row>
    <row r="338" spans="1:3">
      <c r="A338" s="4">
        <v>312</v>
      </c>
      <c r="B338" s="4">
        <v>713246.5773262314</v>
      </c>
      <c r="C338" s="4">
        <v>57882.492673768546</v>
      </c>
    </row>
    <row r="339" spans="1:3">
      <c r="A339" s="4">
        <v>313</v>
      </c>
      <c r="B339" s="4">
        <v>666329.96646570927</v>
      </c>
      <c r="C339" s="4">
        <v>35722.503534290707</v>
      </c>
    </row>
    <row r="340" spans="1:3">
      <c r="A340" s="4">
        <v>314</v>
      </c>
      <c r="B340" s="4">
        <v>730871.52467611583</v>
      </c>
      <c r="C340" s="4">
        <v>-42503.064676115871</v>
      </c>
    </row>
    <row r="341" spans="1:3">
      <c r="A341" s="4">
        <v>315</v>
      </c>
      <c r="B341" s="4">
        <v>660478.76936979615</v>
      </c>
      <c r="C341" s="4">
        <v>51897.000630203867</v>
      </c>
    </row>
    <row r="342" spans="1:3">
      <c r="A342" s="4">
        <v>316</v>
      </c>
      <c r="B342" s="4">
        <v>802013.51863496087</v>
      </c>
      <c r="C342" s="4">
        <v>42697.151365039172</v>
      </c>
    </row>
    <row r="343" spans="1:3">
      <c r="A343" s="4">
        <v>317</v>
      </c>
      <c r="B343" s="4">
        <v>647599.00015257299</v>
      </c>
      <c r="C343" s="4">
        <v>-27334.800152573036</v>
      </c>
    </row>
    <row r="344" spans="1:3">
      <c r="A344" s="4">
        <v>318</v>
      </c>
      <c r="B344" s="4">
        <v>570070.63863172522</v>
      </c>
      <c r="C344" s="4">
        <v>-33225.218631725176</v>
      </c>
    </row>
    <row r="345" spans="1:3">
      <c r="A345" s="4">
        <v>319</v>
      </c>
      <c r="B345" s="4">
        <v>723807.27452373295</v>
      </c>
      <c r="C345" s="4">
        <v>2968.9454762670211</v>
      </c>
    </row>
    <row r="346" spans="1:3" ht="15" thickBot="1">
      <c r="A346" s="5">
        <v>320</v>
      </c>
      <c r="B346" s="5">
        <v>636110.67414718273</v>
      </c>
      <c r="C346" s="5">
        <v>-76449.834147182759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BF87-11E7-42C2-A0E3-A2E388692E43}">
  <dimension ref="A1:O348"/>
  <sheetViews>
    <sheetView topLeftCell="A183" workbookViewId="0">
      <selection activeCell="C298" sqref="C298"/>
    </sheetView>
  </sheetViews>
  <sheetFormatPr defaultRowHeight="14.4"/>
  <cols>
    <col min="1" max="1" width="23.88671875" customWidth="1"/>
    <col min="2" max="2" width="19.88671875" customWidth="1"/>
    <col min="3" max="3" width="27.33203125" customWidth="1"/>
    <col min="4" max="4" width="14.77734375" customWidth="1"/>
    <col min="5" max="5" width="23.88671875" customWidth="1"/>
    <col min="7" max="7" width="24.21875" customWidth="1"/>
    <col min="8" max="8" width="10.44140625" customWidth="1"/>
    <col min="9" max="9" width="17.88671875" customWidth="1"/>
    <col min="10" max="11" width="10.44140625" customWidth="1"/>
    <col min="12" max="12" width="23" customWidth="1"/>
    <col min="13" max="14" width="10.44140625" customWidth="1"/>
    <col min="15" max="15" width="16.77734375" customWidth="1"/>
  </cols>
  <sheetData>
    <row r="1" spans="1:15">
      <c r="A1" s="1" t="s">
        <v>4</v>
      </c>
      <c r="B1" s="1" t="s">
        <v>5</v>
      </c>
      <c r="C1" s="1" t="s">
        <v>8</v>
      </c>
      <c r="D1" s="12" t="s">
        <v>102</v>
      </c>
      <c r="E1" s="1" t="s">
        <v>12</v>
      </c>
    </row>
    <row r="2" spans="1:15">
      <c r="A2">
        <v>70389.11</v>
      </c>
      <c r="B2">
        <v>8302</v>
      </c>
      <c r="C2">
        <v>75</v>
      </c>
      <c r="D2">
        <v>0</v>
      </c>
      <c r="E2">
        <v>658832.62</v>
      </c>
      <c r="G2" s="26" t="s">
        <v>105</v>
      </c>
      <c r="H2" s="27"/>
      <c r="I2" s="27"/>
      <c r="J2" s="27"/>
      <c r="K2" s="27"/>
      <c r="L2" s="27"/>
      <c r="M2" s="27"/>
      <c r="N2" s="27"/>
      <c r="O2" s="15"/>
    </row>
    <row r="3" spans="1:15">
      <c r="A3">
        <v>43827.89</v>
      </c>
      <c r="B3">
        <v>8487</v>
      </c>
      <c r="C3">
        <v>84.4</v>
      </c>
      <c r="D3">
        <v>0</v>
      </c>
      <c r="E3">
        <v>634436</v>
      </c>
      <c r="G3" s="28"/>
      <c r="H3" s="16"/>
      <c r="I3" s="16"/>
      <c r="J3" s="16"/>
      <c r="K3" s="16"/>
      <c r="L3" s="16"/>
      <c r="M3" s="16"/>
      <c r="N3" s="16"/>
      <c r="O3" s="29"/>
    </row>
    <row r="4" spans="1:15">
      <c r="A4">
        <v>59921.75</v>
      </c>
      <c r="B4">
        <v>9113</v>
      </c>
      <c r="C4">
        <v>88</v>
      </c>
      <c r="D4">
        <v>0</v>
      </c>
      <c r="E4">
        <v>678722.06</v>
      </c>
      <c r="G4" s="30" t="s">
        <v>106</v>
      </c>
      <c r="H4" s="31"/>
      <c r="I4" s="16"/>
      <c r="J4" s="16"/>
      <c r="K4" s="16"/>
      <c r="L4" s="16"/>
      <c r="M4" s="16"/>
      <c r="N4" s="16"/>
      <c r="O4" s="29"/>
    </row>
    <row r="5" spans="1:15">
      <c r="A5">
        <v>56856.63</v>
      </c>
      <c r="B5">
        <v>9431</v>
      </c>
      <c r="C5">
        <v>86.9</v>
      </c>
      <c r="D5">
        <v>0</v>
      </c>
      <c r="E5">
        <v>658920.30000000005</v>
      </c>
      <c r="G5" s="32" t="s">
        <v>107</v>
      </c>
      <c r="H5" s="33">
        <v>0.89699062524591466</v>
      </c>
      <c r="I5" s="16"/>
      <c r="J5" s="16"/>
      <c r="K5" s="16"/>
      <c r="L5" s="16"/>
      <c r="M5" s="16"/>
      <c r="N5" s="16"/>
      <c r="O5" s="29"/>
    </row>
    <row r="6" spans="1:15">
      <c r="A6">
        <v>48412.639999999999</v>
      </c>
      <c r="B6">
        <v>9545</v>
      </c>
      <c r="C6">
        <v>97.6</v>
      </c>
      <c r="D6">
        <v>0</v>
      </c>
      <c r="E6">
        <v>741341.44</v>
      </c>
      <c r="G6" s="32" t="s">
        <v>108</v>
      </c>
      <c r="H6" s="33">
        <v>0.804592181779057</v>
      </c>
      <c r="I6" s="16"/>
      <c r="J6" s="16"/>
      <c r="K6" s="16"/>
      <c r="L6" s="16"/>
      <c r="M6" s="16"/>
      <c r="N6" s="16"/>
      <c r="O6" s="29"/>
    </row>
    <row r="7" spans="1:15">
      <c r="A7">
        <v>64811.21</v>
      </c>
      <c r="B7">
        <v>9792</v>
      </c>
      <c r="C7">
        <v>84.2</v>
      </c>
      <c r="D7">
        <v>0</v>
      </c>
      <c r="E7">
        <v>761835.34</v>
      </c>
      <c r="G7" s="32" t="s">
        <v>109</v>
      </c>
      <c r="H7" s="33">
        <v>0.80211081265879114</v>
      </c>
      <c r="I7" s="16"/>
      <c r="J7" s="16"/>
      <c r="K7" s="16"/>
      <c r="L7" s="16"/>
      <c r="M7" s="16"/>
      <c r="N7" s="16"/>
      <c r="O7" s="29"/>
    </row>
    <row r="8" spans="1:15">
      <c r="A8">
        <v>46213.45</v>
      </c>
      <c r="B8">
        <v>10616</v>
      </c>
      <c r="C8">
        <v>85.2</v>
      </c>
      <c r="D8">
        <v>0</v>
      </c>
      <c r="E8">
        <v>806615.54</v>
      </c>
      <c r="G8" s="32" t="s">
        <v>110</v>
      </c>
      <c r="H8" s="33">
        <v>46162.542522621115</v>
      </c>
      <c r="I8" s="16"/>
      <c r="J8" s="16"/>
      <c r="K8" s="16"/>
      <c r="L8" s="16"/>
      <c r="M8" s="16"/>
      <c r="N8" s="16"/>
      <c r="O8" s="29"/>
    </row>
    <row r="9" spans="1:15">
      <c r="A9">
        <v>68148.52</v>
      </c>
      <c r="B9">
        <v>8567</v>
      </c>
      <c r="C9">
        <v>95.6</v>
      </c>
      <c r="D9">
        <v>0</v>
      </c>
      <c r="E9">
        <v>850164.26</v>
      </c>
      <c r="G9" s="32" t="s">
        <v>111</v>
      </c>
      <c r="H9" s="33">
        <v>320</v>
      </c>
      <c r="I9" s="16"/>
      <c r="J9" s="16"/>
      <c r="K9" s="16"/>
      <c r="L9" s="16"/>
      <c r="M9" s="16"/>
      <c r="N9" s="16"/>
      <c r="O9" s="29"/>
    </row>
    <row r="10" spans="1:15">
      <c r="A10">
        <v>71838.86</v>
      </c>
      <c r="B10">
        <v>10979</v>
      </c>
      <c r="C10">
        <v>88.6</v>
      </c>
      <c r="D10">
        <v>1</v>
      </c>
      <c r="E10">
        <v>930581.7</v>
      </c>
      <c r="G10" s="28"/>
      <c r="H10" s="16"/>
      <c r="I10" s="16"/>
      <c r="J10" s="16"/>
      <c r="K10" s="16"/>
      <c r="L10" s="16"/>
      <c r="M10" s="16"/>
      <c r="N10" s="16"/>
      <c r="O10" s="29"/>
    </row>
    <row r="11" spans="1:15">
      <c r="A11">
        <v>68133.440000000002</v>
      </c>
      <c r="B11">
        <v>9459</v>
      </c>
      <c r="C11">
        <v>85</v>
      </c>
      <c r="D11">
        <v>1</v>
      </c>
      <c r="E11">
        <v>779010.94</v>
      </c>
      <c r="G11" s="34" t="s">
        <v>112</v>
      </c>
      <c r="H11" s="16"/>
      <c r="I11" s="16"/>
      <c r="J11" s="16"/>
      <c r="K11" s="16"/>
      <c r="L11" s="16"/>
      <c r="M11" s="16"/>
      <c r="N11" s="16"/>
      <c r="O11" s="29"/>
    </row>
    <row r="12" spans="1:15">
      <c r="A12">
        <v>34285.21</v>
      </c>
      <c r="B12">
        <v>9172</v>
      </c>
      <c r="C12">
        <v>88.3</v>
      </c>
      <c r="D12">
        <v>1</v>
      </c>
      <c r="E12">
        <v>723060.76</v>
      </c>
      <c r="G12" s="35"/>
      <c r="H12" s="36" t="s">
        <v>117</v>
      </c>
      <c r="I12" s="36" t="s">
        <v>118</v>
      </c>
      <c r="J12" s="36" t="s">
        <v>119</v>
      </c>
      <c r="K12" s="36" t="s">
        <v>120</v>
      </c>
      <c r="L12" s="36" t="s">
        <v>121</v>
      </c>
      <c r="M12" s="16"/>
      <c r="N12" s="16"/>
      <c r="O12" s="29"/>
    </row>
    <row r="13" spans="1:15">
      <c r="A13">
        <v>67979.88</v>
      </c>
      <c r="B13">
        <v>11230</v>
      </c>
      <c r="C13">
        <v>85.3</v>
      </c>
      <c r="D13">
        <v>1</v>
      </c>
      <c r="E13">
        <v>910791.94</v>
      </c>
      <c r="G13" s="32" t="s">
        <v>113</v>
      </c>
      <c r="H13" s="33">
        <v>4</v>
      </c>
      <c r="I13" s="33">
        <v>2763909812162.6064</v>
      </c>
      <c r="J13" s="33">
        <v>690977453040.65161</v>
      </c>
      <c r="K13" s="33">
        <v>324.25332257412163</v>
      </c>
      <c r="L13" s="33">
        <v>2.6892111607052693E-110</v>
      </c>
      <c r="M13" s="16"/>
      <c r="N13" s="16"/>
      <c r="O13" s="29"/>
    </row>
    <row r="14" spans="1:15">
      <c r="A14">
        <v>71828.259999999995</v>
      </c>
      <c r="B14">
        <v>12775</v>
      </c>
      <c r="C14">
        <v>81.7</v>
      </c>
      <c r="D14">
        <v>0</v>
      </c>
      <c r="E14">
        <v>922168.6</v>
      </c>
      <c r="G14" s="32" t="s">
        <v>114</v>
      </c>
      <c r="H14" s="33">
        <v>315</v>
      </c>
      <c r="I14" s="33">
        <v>671258804628.13293</v>
      </c>
      <c r="J14" s="33">
        <v>2130980332.1528029</v>
      </c>
      <c r="K14" s="33"/>
      <c r="L14" s="33"/>
      <c r="M14" s="16"/>
      <c r="N14" s="16"/>
      <c r="O14" s="29"/>
    </row>
    <row r="15" spans="1:15">
      <c r="A15">
        <v>55716.82</v>
      </c>
      <c r="B15">
        <v>10054</v>
      </c>
      <c r="C15">
        <v>84.9</v>
      </c>
      <c r="D15">
        <v>0</v>
      </c>
      <c r="E15">
        <v>726606.28</v>
      </c>
      <c r="G15" s="32" t="s">
        <v>115</v>
      </c>
      <c r="H15" s="33">
        <v>319</v>
      </c>
      <c r="I15" s="33">
        <v>3435168616790.7393</v>
      </c>
      <c r="J15" s="33"/>
      <c r="K15" s="33"/>
      <c r="L15" s="33"/>
      <c r="M15" s="16"/>
      <c r="N15" s="16"/>
      <c r="O15" s="29"/>
    </row>
    <row r="16" spans="1:15">
      <c r="A16">
        <v>59909.51</v>
      </c>
      <c r="B16">
        <v>8895</v>
      </c>
      <c r="C16">
        <v>88.8</v>
      </c>
      <c r="D16">
        <v>0</v>
      </c>
      <c r="E16">
        <v>746501.09</v>
      </c>
      <c r="G16" s="28"/>
      <c r="H16" s="16"/>
      <c r="I16" s="16"/>
      <c r="J16" s="16"/>
      <c r="K16" s="16"/>
      <c r="L16" s="16"/>
      <c r="M16" s="16"/>
      <c r="N16" s="16"/>
      <c r="O16" s="29"/>
    </row>
    <row r="17" spans="1:15">
      <c r="A17">
        <v>75305.710000000006</v>
      </c>
      <c r="B17">
        <v>10940</v>
      </c>
      <c r="C17">
        <v>76.5</v>
      </c>
      <c r="D17">
        <v>0</v>
      </c>
      <c r="E17">
        <v>834017.02</v>
      </c>
      <c r="G17" s="35"/>
      <c r="H17" s="36" t="s">
        <v>122</v>
      </c>
      <c r="I17" s="36" t="s">
        <v>110</v>
      </c>
      <c r="J17" s="36" t="s">
        <v>123</v>
      </c>
      <c r="K17" s="36" t="s">
        <v>124</v>
      </c>
      <c r="L17" s="36" t="s">
        <v>125</v>
      </c>
      <c r="M17" s="36" t="s">
        <v>126</v>
      </c>
      <c r="N17" s="36" t="s">
        <v>127</v>
      </c>
      <c r="O17" s="37" t="s">
        <v>128</v>
      </c>
    </row>
    <row r="18" spans="1:15">
      <c r="A18">
        <v>48804.22</v>
      </c>
      <c r="B18">
        <v>7057</v>
      </c>
      <c r="C18">
        <v>87.7</v>
      </c>
      <c r="D18">
        <v>0</v>
      </c>
      <c r="E18">
        <v>666152.52</v>
      </c>
      <c r="G18" s="32" t="s">
        <v>116</v>
      </c>
      <c r="H18" s="33">
        <v>135425.92040908046</v>
      </c>
      <c r="I18" s="33">
        <v>44097.485574008562</v>
      </c>
      <c r="J18" s="33">
        <v>3.0710576498017308</v>
      </c>
      <c r="K18" s="33">
        <v>2.3189005656800554E-3</v>
      </c>
      <c r="L18" s="33">
        <v>48663.079853832969</v>
      </c>
      <c r="M18" s="33">
        <v>222188.76096432796</v>
      </c>
      <c r="N18" s="33">
        <v>48663.079853832969</v>
      </c>
      <c r="O18" s="38">
        <v>222188.76096432796</v>
      </c>
    </row>
    <row r="19" spans="1:15">
      <c r="A19">
        <v>59117.9</v>
      </c>
      <c r="B19">
        <v>4263</v>
      </c>
      <c r="C19">
        <v>87.6</v>
      </c>
      <c r="D19">
        <v>0</v>
      </c>
      <c r="E19">
        <v>573155.18999999994</v>
      </c>
      <c r="G19" s="32" t="s">
        <v>4</v>
      </c>
      <c r="H19" s="33">
        <v>1.1766945199285819</v>
      </c>
      <c r="I19" s="33">
        <v>0.1335585704012047</v>
      </c>
      <c r="J19" s="33">
        <v>8.8103258098213981</v>
      </c>
      <c r="K19" s="33">
        <v>8.5502282015750478E-17</v>
      </c>
      <c r="L19" s="33">
        <v>0.91391488980525937</v>
      </c>
      <c r="M19" s="33">
        <v>1.4394741500519044</v>
      </c>
      <c r="N19" s="33">
        <v>0.91391488980525937</v>
      </c>
      <c r="O19" s="38">
        <v>1.4394741500519044</v>
      </c>
    </row>
    <row r="20" spans="1:15">
      <c r="A20">
        <v>78831.12</v>
      </c>
      <c r="B20">
        <v>5538</v>
      </c>
      <c r="C20">
        <v>94.1</v>
      </c>
      <c r="D20">
        <v>0</v>
      </c>
      <c r="E20">
        <v>666573.19999999995</v>
      </c>
      <c r="G20" s="32" t="s">
        <v>5</v>
      </c>
      <c r="H20" s="33">
        <v>33.6612879628603</v>
      </c>
      <c r="I20" s="33">
        <v>1.0684584964611108</v>
      </c>
      <c r="J20" s="33">
        <v>31.504534873700155</v>
      </c>
      <c r="K20" s="33">
        <v>2.2611866972363511E-99</v>
      </c>
      <c r="L20" s="33">
        <v>31.559070728438336</v>
      </c>
      <c r="M20" s="33">
        <v>35.763505197282264</v>
      </c>
      <c r="N20" s="33">
        <v>31.559070728438336</v>
      </c>
      <c r="O20" s="38">
        <v>35.763505197282264</v>
      </c>
    </row>
    <row r="21" spans="1:15">
      <c r="A21">
        <v>41441.93</v>
      </c>
      <c r="B21">
        <v>4865</v>
      </c>
      <c r="C21">
        <v>88.3</v>
      </c>
      <c r="D21">
        <v>0</v>
      </c>
      <c r="E21">
        <v>591619.94999999995</v>
      </c>
      <c r="G21" s="32" t="s">
        <v>8</v>
      </c>
      <c r="H21" s="33">
        <v>2924.4894311776343</v>
      </c>
      <c r="I21" s="33">
        <v>483.30813503114655</v>
      </c>
      <c r="J21" s="33">
        <v>6.0509832531355325</v>
      </c>
      <c r="K21" s="33">
        <v>4.0830130369062711E-9</v>
      </c>
      <c r="L21" s="33">
        <v>1973.5693024463678</v>
      </c>
      <c r="M21" s="33">
        <v>3875.4095599089005</v>
      </c>
      <c r="N21" s="33">
        <v>1973.5693024463678</v>
      </c>
      <c r="O21" s="38">
        <v>3875.4095599089005</v>
      </c>
    </row>
    <row r="22" spans="1:15">
      <c r="A22">
        <v>30356.28</v>
      </c>
      <c r="B22">
        <v>2822</v>
      </c>
      <c r="C22">
        <v>84.8</v>
      </c>
      <c r="D22">
        <v>1</v>
      </c>
      <c r="E22">
        <v>415721.82</v>
      </c>
      <c r="G22" s="32" t="s">
        <v>102</v>
      </c>
      <c r="H22" s="33">
        <v>-1027.6873461756661</v>
      </c>
      <c r="I22" s="33">
        <v>6473.354030938257</v>
      </c>
      <c r="J22" s="33">
        <v>-0.15875654896426414</v>
      </c>
      <c r="K22" s="33">
        <v>0.87396241655603557</v>
      </c>
      <c r="L22" s="33">
        <v>-13764.163731010722</v>
      </c>
      <c r="M22" s="33">
        <v>11708.78903865939</v>
      </c>
      <c r="N22" s="33">
        <v>-13764.163731010722</v>
      </c>
      <c r="O22" s="38">
        <v>11708.78903865939</v>
      </c>
    </row>
    <row r="23" spans="1:15">
      <c r="A23">
        <v>33518.879999999997</v>
      </c>
      <c r="B23">
        <v>2121</v>
      </c>
      <c r="C23">
        <v>88.5</v>
      </c>
      <c r="D23">
        <v>1</v>
      </c>
      <c r="E23">
        <v>491905.13</v>
      </c>
      <c r="G23" s="28"/>
      <c r="H23" s="16"/>
      <c r="I23" s="16"/>
      <c r="J23" s="16"/>
      <c r="K23" s="16"/>
      <c r="L23" s="16"/>
      <c r="M23" s="16"/>
      <c r="N23" s="16"/>
      <c r="O23" s="29"/>
    </row>
    <row r="24" spans="1:15">
      <c r="A24">
        <v>42267.37</v>
      </c>
      <c r="B24">
        <v>3364</v>
      </c>
      <c r="C24">
        <v>82</v>
      </c>
      <c r="D24">
        <v>1</v>
      </c>
      <c r="E24">
        <v>555929.4</v>
      </c>
      <c r="G24" s="28"/>
      <c r="H24" s="16"/>
      <c r="I24" s="16"/>
      <c r="J24" s="16"/>
      <c r="K24" s="16"/>
      <c r="L24" s="16"/>
      <c r="M24" s="16"/>
      <c r="N24" s="16"/>
      <c r="O24" s="29"/>
    </row>
    <row r="25" spans="1:15">
      <c r="A25">
        <v>62060.43</v>
      </c>
      <c r="B25">
        <v>2613</v>
      </c>
      <c r="C25">
        <v>92.1</v>
      </c>
      <c r="D25">
        <v>1</v>
      </c>
      <c r="E25">
        <v>565810.99</v>
      </c>
      <c r="G25" s="28"/>
      <c r="H25" s="16"/>
      <c r="I25" s="16"/>
      <c r="J25" s="16"/>
      <c r="K25" s="16"/>
      <c r="L25" s="16"/>
      <c r="M25" s="16"/>
      <c r="N25" s="16"/>
      <c r="O25" s="29"/>
    </row>
    <row r="26" spans="1:15">
      <c r="A26">
        <v>57696.69</v>
      </c>
      <c r="B26">
        <v>10218</v>
      </c>
      <c r="C26">
        <v>94.8</v>
      </c>
      <c r="D26">
        <v>0</v>
      </c>
      <c r="E26">
        <v>811771.14</v>
      </c>
      <c r="G26" s="34" t="s">
        <v>129</v>
      </c>
      <c r="H26" s="16"/>
      <c r="I26" s="16"/>
      <c r="J26" s="16"/>
      <c r="K26" s="16"/>
      <c r="L26" s="16"/>
      <c r="M26" s="16"/>
      <c r="N26" s="16"/>
      <c r="O26" s="29"/>
    </row>
    <row r="27" spans="1:15">
      <c r="A27">
        <v>172415.52</v>
      </c>
      <c r="B27">
        <v>8927</v>
      </c>
      <c r="C27">
        <v>86.2</v>
      </c>
      <c r="D27">
        <v>0</v>
      </c>
      <c r="E27">
        <v>800451.94</v>
      </c>
      <c r="G27" s="28"/>
      <c r="H27" s="16"/>
      <c r="I27" s="16"/>
      <c r="J27" s="16"/>
      <c r="K27" s="16"/>
      <c r="L27" s="16"/>
      <c r="M27" s="16"/>
      <c r="N27" s="16"/>
      <c r="O27" s="29"/>
    </row>
    <row r="28" spans="1:15">
      <c r="A28">
        <v>55270.52</v>
      </c>
      <c r="B28">
        <v>9315</v>
      </c>
      <c r="C28">
        <v>91.9</v>
      </c>
      <c r="D28">
        <v>0</v>
      </c>
      <c r="E28">
        <v>783672.82</v>
      </c>
      <c r="G28" s="35" t="s">
        <v>130</v>
      </c>
      <c r="H28" s="36" t="s">
        <v>131</v>
      </c>
      <c r="I28" s="36" t="s">
        <v>132</v>
      </c>
      <c r="J28" s="16"/>
      <c r="K28" s="16"/>
      <c r="L28" s="16"/>
      <c r="M28" s="16"/>
      <c r="N28" s="16"/>
      <c r="O28" s="29"/>
    </row>
    <row r="29" spans="1:15">
      <c r="A29">
        <v>52715.1</v>
      </c>
      <c r="B29">
        <v>7223</v>
      </c>
      <c r="C29">
        <v>84.2</v>
      </c>
      <c r="D29">
        <v>0</v>
      </c>
      <c r="E29">
        <v>701641.97</v>
      </c>
      <c r="G29" s="32">
        <v>1</v>
      </c>
      <c r="H29" s="33">
        <v>717045.12041471933</v>
      </c>
      <c r="I29" s="33">
        <v>-58212.500414719339</v>
      </c>
      <c r="J29" s="16"/>
      <c r="K29" s="16"/>
      <c r="L29" s="16"/>
      <c r="M29" s="16"/>
      <c r="N29" s="16"/>
      <c r="O29" s="29"/>
    </row>
    <row r="30" spans="1:15">
      <c r="A30">
        <v>68600.62</v>
      </c>
      <c r="B30">
        <v>3988</v>
      </c>
      <c r="C30">
        <v>85</v>
      </c>
      <c r="D30">
        <v>0</v>
      </c>
      <c r="E30">
        <v>511844.41</v>
      </c>
      <c r="G30" s="32">
        <v>2</v>
      </c>
      <c r="H30" s="33">
        <v>719508.2173243009</v>
      </c>
      <c r="I30" s="33">
        <v>-85072.217324300902</v>
      </c>
      <c r="J30" s="16"/>
      <c r="K30" s="16"/>
      <c r="L30" s="16"/>
      <c r="M30" s="16"/>
      <c r="N30" s="16"/>
      <c r="O30" s="29"/>
    </row>
    <row r="31" spans="1:15">
      <c r="A31">
        <v>63176.73</v>
      </c>
      <c r="B31">
        <v>2390</v>
      </c>
      <c r="C31">
        <v>87.5</v>
      </c>
      <c r="D31">
        <v>0</v>
      </c>
      <c r="E31">
        <v>537383.79</v>
      </c>
      <c r="G31" s="32">
        <v>3</v>
      </c>
      <c r="H31" s="33">
        <v>770045.90240778867</v>
      </c>
      <c r="I31" s="33">
        <v>-91323.842407788616</v>
      </c>
      <c r="J31" s="16"/>
      <c r="K31" s="16"/>
      <c r="L31" s="16"/>
      <c r="M31" s="16"/>
      <c r="N31" s="16"/>
      <c r="O31" s="29"/>
    </row>
    <row r="32" spans="1:15">
      <c r="A32">
        <v>44970.080000000002</v>
      </c>
      <c r="B32">
        <v>2471</v>
      </c>
      <c r="C32">
        <v>87.6</v>
      </c>
      <c r="D32">
        <v>0</v>
      </c>
      <c r="E32">
        <v>500173.02</v>
      </c>
      <c r="G32" s="32">
        <v>4</v>
      </c>
      <c r="H32" s="33">
        <v>773926.5436987594</v>
      </c>
      <c r="I32" s="33">
        <v>-115006.24369875935</v>
      </c>
      <c r="J32" s="16"/>
      <c r="K32" s="16"/>
      <c r="L32" s="16"/>
      <c r="M32" s="16"/>
      <c r="N32" s="16"/>
      <c r="O32" s="29"/>
    </row>
    <row r="33" spans="1:15">
      <c r="A33">
        <v>69816.350000000006</v>
      </c>
      <c r="B33">
        <v>971</v>
      </c>
      <c r="C33">
        <v>89.9</v>
      </c>
      <c r="D33">
        <v>0</v>
      </c>
      <c r="E33">
        <v>427917.38</v>
      </c>
      <c r="G33" s="32">
        <v>5</v>
      </c>
      <c r="H33" s="33">
        <v>799119.97068079445</v>
      </c>
      <c r="I33" s="33">
        <v>-57778.530680794502</v>
      </c>
      <c r="J33" s="16"/>
      <c r="K33" s="16"/>
      <c r="L33" s="16"/>
      <c r="M33" s="16"/>
      <c r="N33" s="16"/>
      <c r="O33" s="29"/>
    </row>
    <row r="34" spans="1:15">
      <c r="A34">
        <v>54597.83</v>
      </c>
      <c r="B34">
        <v>9429</v>
      </c>
      <c r="C34">
        <v>83.3</v>
      </c>
      <c r="D34">
        <v>1</v>
      </c>
      <c r="E34">
        <v>641865.03</v>
      </c>
      <c r="G34" s="32">
        <v>6</v>
      </c>
      <c r="H34" s="33">
        <v>787542.25788350578</v>
      </c>
      <c r="I34" s="33">
        <v>-25706.917883505812</v>
      </c>
      <c r="J34" s="16"/>
      <c r="K34" s="16"/>
      <c r="L34" s="16"/>
      <c r="M34" s="16"/>
      <c r="N34" s="16"/>
      <c r="O34" s="29"/>
    </row>
    <row r="35" spans="1:15">
      <c r="A35">
        <v>73771.91</v>
      </c>
      <c r="B35">
        <v>11695</v>
      </c>
      <c r="C35">
        <v>84.7</v>
      </c>
      <c r="D35">
        <v>1</v>
      </c>
      <c r="E35">
        <v>799477.76000000001</v>
      </c>
      <c r="G35" s="32">
        <v>7</v>
      </c>
      <c r="H35" s="33">
        <v>796319.76632113336</v>
      </c>
      <c r="I35" s="33">
        <v>10295.773678866681</v>
      </c>
      <c r="J35" s="16"/>
      <c r="K35" s="16"/>
      <c r="L35" s="16"/>
      <c r="M35" s="16"/>
      <c r="N35" s="16"/>
      <c r="O35" s="29"/>
    </row>
    <row r="36" spans="1:15">
      <c r="A36">
        <v>74413.88</v>
      </c>
      <c r="B36">
        <v>9449</v>
      </c>
      <c r="C36">
        <v>92.1</v>
      </c>
      <c r="D36">
        <v>1</v>
      </c>
      <c r="E36">
        <v>798952.17</v>
      </c>
      <c r="G36" s="32">
        <v>8</v>
      </c>
      <c r="H36" s="33">
        <v>783573.35403272975</v>
      </c>
      <c r="I36" s="33">
        <v>66590.905967270257</v>
      </c>
      <c r="J36" s="16"/>
      <c r="K36" s="16"/>
      <c r="L36" s="16"/>
      <c r="M36" s="16"/>
      <c r="N36" s="16"/>
      <c r="O36" s="29"/>
    </row>
    <row r="37" spans="1:15">
      <c r="A37">
        <v>52483.77</v>
      </c>
      <c r="B37">
        <v>10453</v>
      </c>
      <c r="C37">
        <v>99</v>
      </c>
      <c r="D37">
        <v>1</v>
      </c>
      <c r="E37">
        <v>800979.78</v>
      </c>
      <c r="G37" s="32">
        <v>9</v>
      </c>
      <c r="H37" s="33">
        <v>847607.67008940293</v>
      </c>
      <c r="I37" s="33">
        <v>82974.029910597019</v>
      </c>
      <c r="J37" s="16"/>
      <c r="K37" s="16"/>
      <c r="L37" s="16"/>
      <c r="M37" s="16"/>
      <c r="N37" s="16"/>
      <c r="O37" s="29"/>
    </row>
    <row r="38" spans="1:15">
      <c r="A38">
        <v>75269.87</v>
      </c>
      <c r="B38">
        <v>8838</v>
      </c>
      <c r="C38">
        <v>83.1</v>
      </c>
      <c r="D38">
        <v>1</v>
      </c>
      <c r="E38">
        <v>820593.93</v>
      </c>
      <c r="G38" s="32">
        <v>10</v>
      </c>
      <c r="H38" s="33">
        <v>781554.20302558213</v>
      </c>
      <c r="I38" s="33">
        <v>-2543.2630255821859</v>
      </c>
      <c r="J38" s="16"/>
      <c r="K38" s="16"/>
      <c r="L38" s="16"/>
      <c r="M38" s="16"/>
      <c r="N38" s="16"/>
      <c r="O38" s="29"/>
    </row>
    <row r="39" spans="1:15">
      <c r="A39">
        <v>61245.41</v>
      </c>
      <c r="B39">
        <v>8156</v>
      </c>
      <c r="C39">
        <v>92.9</v>
      </c>
      <c r="D39">
        <v>1</v>
      </c>
      <c r="E39">
        <v>718330.53</v>
      </c>
      <c r="G39" s="32">
        <v>11</v>
      </c>
      <c r="H39" s="33">
        <v>741715.2017528452</v>
      </c>
      <c r="I39" s="33">
        <v>-18654.441752845189</v>
      </c>
      <c r="J39" s="16"/>
      <c r="K39" s="16"/>
      <c r="L39" s="16"/>
      <c r="M39" s="16"/>
      <c r="N39" s="16"/>
      <c r="O39" s="29"/>
    </row>
    <row r="40" spans="1:15">
      <c r="A40">
        <v>93381.26</v>
      </c>
      <c r="B40">
        <v>7562</v>
      </c>
      <c r="C40">
        <v>82.9</v>
      </c>
      <c r="D40">
        <v>1</v>
      </c>
      <c r="E40">
        <v>736633.4</v>
      </c>
      <c r="G40" s="32">
        <v>12</v>
      </c>
      <c r="H40" s="33">
        <v>841864.99762668076</v>
      </c>
      <c r="I40" s="33">
        <v>68926.94237331918</v>
      </c>
      <c r="J40" s="16"/>
      <c r="K40" s="16"/>
      <c r="L40" s="16"/>
      <c r="M40" s="16"/>
      <c r="N40" s="16"/>
      <c r="O40" s="29"/>
    </row>
    <row r="41" spans="1:15">
      <c r="A41">
        <v>65012.19</v>
      </c>
      <c r="B41">
        <v>9598</v>
      </c>
      <c r="C41">
        <v>98.3</v>
      </c>
      <c r="D41">
        <v>1</v>
      </c>
      <c r="E41">
        <v>828623.85</v>
      </c>
      <c r="G41" s="32">
        <v>13</v>
      </c>
      <c r="H41" s="33">
        <v>888899.58057983883</v>
      </c>
      <c r="I41" s="33">
        <v>33269.019420161145</v>
      </c>
      <c r="J41" s="16"/>
      <c r="K41" s="16"/>
      <c r="L41" s="16"/>
      <c r="M41" s="16"/>
      <c r="N41" s="16"/>
      <c r="O41" s="29"/>
    </row>
    <row r="42" spans="1:15">
      <c r="A42">
        <v>40462.94</v>
      </c>
      <c r="B42">
        <v>3660</v>
      </c>
      <c r="C42">
        <v>95.2</v>
      </c>
      <c r="D42">
        <v>0</v>
      </c>
      <c r="E42">
        <v>592195.85</v>
      </c>
      <c r="G42" s="32">
        <v>14</v>
      </c>
      <c r="H42" s="33">
        <v>787707.33905650629</v>
      </c>
      <c r="I42" s="33">
        <v>-61101.059056506259</v>
      </c>
      <c r="J42" s="16"/>
      <c r="K42" s="16"/>
      <c r="L42" s="16"/>
      <c r="M42" s="16"/>
      <c r="N42" s="16"/>
      <c r="O42" s="29"/>
    </row>
    <row r="43" spans="1:15">
      <c r="A43">
        <v>46123.88</v>
      </c>
      <c r="B43">
        <v>3227</v>
      </c>
      <c r="C43">
        <v>75.400000000000006</v>
      </c>
      <c r="D43">
        <v>0</v>
      </c>
      <c r="E43">
        <v>532644.46</v>
      </c>
      <c r="G43" s="32">
        <v>15</v>
      </c>
      <c r="H43" s="33">
        <v>765032.93043590325</v>
      </c>
      <c r="I43" s="33">
        <v>-18531.840435903287</v>
      </c>
      <c r="J43" s="16"/>
      <c r="K43" s="16"/>
      <c r="L43" s="16"/>
      <c r="M43" s="16"/>
      <c r="N43" s="16"/>
      <c r="O43" s="29"/>
    </row>
    <row r="44" spans="1:15">
      <c r="A44">
        <v>68077.539999999994</v>
      </c>
      <c r="B44">
        <v>3360</v>
      </c>
      <c r="C44">
        <v>88.2</v>
      </c>
      <c r="D44">
        <v>0</v>
      </c>
      <c r="E44">
        <v>657429.18000000005</v>
      </c>
      <c r="G44" s="32">
        <v>16</v>
      </c>
      <c r="H44" s="33">
        <v>816015.66848419211</v>
      </c>
      <c r="I44" s="33">
        <v>18001.35151580791</v>
      </c>
      <c r="J44" s="16"/>
      <c r="K44" s="16"/>
      <c r="L44" s="16"/>
      <c r="M44" s="16"/>
      <c r="N44" s="16"/>
      <c r="O44" s="29"/>
    </row>
    <row r="45" spans="1:15">
      <c r="A45">
        <v>64882.14</v>
      </c>
      <c r="B45">
        <v>3642</v>
      </c>
      <c r="C45">
        <v>87.8</v>
      </c>
      <c r="D45">
        <v>0</v>
      </c>
      <c r="E45">
        <v>605178</v>
      </c>
      <c r="G45" s="32">
        <v>17</v>
      </c>
      <c r="H45" s="33">
        <v>686879.01090065297</v>
      </c>
      <c r="I45" s="33">
        <v>-20726.490900652949</v>
      </c>
      <c r="J45" s="16"/>
      <c r="K45" s="16"/>
      <c r="L45" s="16"/>
      <c r="M45" s="16"/>
      <c r="N45" s="16"/>
      <c r="O45" s="29"/>
    </row>
    <row r="46" spans="1:15">
      <c r="A46">
        <v>138855.51</v>
      </c>
      <c r="B46">
        <v>5145</v>
      </c>
      <c r="C46">
        <v>88.2</v>
      </c>
      <c r="D46">
        <v>0</v>
      </c>
      <c r="E46">
        <v>595467.6</v>
      </c>
      <c r="G46" s="32">
        <v>18</v>
      </c>
      <c r="H46" s="33">
        <v>604672.97412560065</v>
      </c>
      <c r="I46" s="33">
        <v>-31517.784125600709</v>
      </c>
      <c r="J46" s="16"/>
      <c r="K46" s="16"/>
      <c r="L46" s="16"/>
      <c r="M46" s="16"/>
      <c r="N46" s="16"/>
      <c r="O46" s="29"/>
    </row>
    <row r="47" spans="1:15">
      <c r="A47">
        <v>63630.21</v>
      </c>
      <c r="B47">
        <v>4460</v>
      </c>
      <c r="C47">
        <v>98.6</v>
      </c>
      <c r="D47">
        <v>0</v>
      </c>
      <c r="E47">
        <v>599603.4</v>
      </c>
      <c r="G47" s="32">
        <v>19</v>
      </c>
      <c r="H47" s="33">
        <v>689796.73552504857</v>
      </c>
      <c r="I47" s="33">
        <v>-23223.535525048617</v>
      </c>
      <c r="J47" s="16"/>
      <c r="K47" s="16"/>
      <c r="L47" s="16"/>
      <c r="M47" s="16"/>
      <c r="N47" s="16"/>
      <c r="O47" s="29"/>
    </row>
    <row r="48" spans="1:15">
      <c r="A48">
        <v>50043.65</v>
      </c>
      <c r="B48">
        <v>3804</v>
      </c>
      <c r="C48">
        <v>90.9</v>
      </c>
      <c r="D48">
        <v>0</v>
      </c>
      <c r="E48">
        <v>614800.09</v>
      </c>
      <c r="G48" s="32">
        <v>20</v>
      </c>
      <c r="H48" s="33">
        <v>606184.99504764483</v>
      </c>
      <c r="I48" s="33">
        <v>-14565.045047644875</v>
      </c>
      <c r="J48" s="16"/>
      <c r="K48" s="16"/>
      <c r="L48" s="16"/>
      <c r="M48" s="16"/>
      <c r="N48" s="16"/>
      <c r="O48" s="29"/>
    </row>
    <row r="49" spans="1:15">
      <c r="A49">
        <v>42093.84</v>
      </c>
      <c r="B49">
        <v>4074</v>
      </c>
      <c r="C49">
        <v>88</v>
      </c>
      <c r="D49">
        <v>0</v>
      </c>
      <c r="E49">
        <v>585365.73</v>
      </c>
      <c r="G49" s="32">
        <v>21</v>
      </c>
      <c r="H49" s="33">
        <v>513107.15977937751</v>
      </c>
      <c r="I49" s="33">
        <v>-97385.339779377508</v>
      </c>
      <c r="J49" s="16"/>
      <c r="K49" s="16"/>
      <c r="L49" s="16"/>
      <c r="M49" s="16"/>
      <c r="N49" s="16"/>
      <c r="O49" s="29"/>
    </row>
    <row r="50" spans="1:15">
      <c r="A50">
        <v>46624.05</v>
      </c>
      <c r="B50">
        <v>5104</v>
      </c>
      <c r="C50">
        <v>97.3</v>
      </c>
      <c r="D50">
        <v>1</v>
      </c>
      <c r="E50">
        <v>622811.74</v>
      </c>
      <c r="G50" s="32">
        <v>22</v>
      </c>
      <c r="H50" s="33">
        <v>504052.62190149585</v>
      </c>
      <c r="I50" s="33">
        <v>-12147.491901495843</v>
      </c>
      <c r="J50" s="16"/>
      <c r="K50" s="16"/>
      <c r="L50" s="16"/>
      <c r="M50" s="16"/>
      <c r="N50" s="16"/>
      <c r="O50" s="29"/>
    </row>
    <row r="51" spans="1:15">
      <c r="A51">
        <v>49710.29</v>
      </c>
      <c r="B51">
        <v>5559</v>
      </c>
      <c r="C51">
        <v>71</v>
      </c>
      <c r="D51">
        <v>1</v>
      </c>
      <c r="E51">
        <v>603297.56999999995</v>
      </c>
      <c r="G51" s="32">
        <v>23</v>
      </c>
      <c r="H51" s="33">
        <v>537178.72177732654</v>
      </c>
      <c r="I51" s="33">
        <v>18750.678222673479</v>
      </c>
      <c r="J51" s="16"/>
      <c r="K51" s="16"/>
      <c r="L51" s="16"/>
      <c r="M51" s="16"/>
      <c r="N51" s="16"/>
      <c r="O51" s="29"/>
    </row>
    <row r="52" spans="1:15">
      <c r="A52">
        <v>48287.85</v>
      </c>
      <c r="B52">
        <v>5150</v>
      </c>
      <c r="C52">
        <v>80.400000000000006</v>
      </c>
      <c r="D52">
        <v>1</v>
      </c>
      <c r="E52">
        <v>625672.86</v>
      </c>
      <c r="G52" s="32">
        <v>24</v>
      </c>
      <c r="H52" s="33">
        <v>564726.82300673018</v>
      </c>
      <c r="I52" s="33">
        <v>1084.1669932698132</v>
      </c>
      <c r="J52" s="16"/>
      <c r="K52" s="16"/>
      <c r="L52" s="16"/>
      <c r="M52" s="16"/>
      <c r="N52" s="16"/>
      <c r="O52" s="29"/>
    </row>
    <row r="53" spans="1:15">
      <c r="A53">
        <v>65312.49</v>
      </c>
      <c r="B53">
        <v>7189</v>
      </c>
      <c r="C53">
        <v>93.7</v>
      </c>
      <c r="D53">
        <v>1</v>
      </c>
      <c r="E53">
        <v>773815.14</v>
      </c>
      <c r="G53" s="32">
        <v>25</v>
      </c>
      <c r="H53" s="33">
        <v>824509.93783024489</v>
      </c>
      <c r="I53" s="33">
        <v>-12738.797830244876</v>
      </c>
      <c r="J53" s="16"/>
      <c r="K53" s="16"/>
      <c r="L53" s="16"/>
      <c r="M53" s="16"/>
      <c r="N53" s="16"/>
      <c r="O53" s="29"/>
    </row>
    <row r="54" spans="1:15">
      <c r="A54">
        <v>53015.46</v>
      </c>
      <c r="B54">
        <v>3279</v>
      </c>
      <c r="C54">
        <v>84.3</v>
      </c>
      <c r="D54">
        <v>0</v>
      </c>
      <c r="E54">
        <v>463534.25</v>
      </c>
      <c r="G54" s="32">
        <v>26</v>
      </c>
      <c r="H54" s="33">
        <v>890891.62455568323</v>
      </c>
      <c r="I54" s="33">
        <v>-90439.684555683285</v>
      </c>
      <c r="J54" s="16"/>
      <c r="K54" s="16"/>
      <c r="L54" s="16"/>
      <c r="M54" s="16"/>
      <c r="N54" s="16"/>
      <c r="O54" s="29"/>
    </row>
    <row r="55" spans="1:15">
      <c r="A55">
        <v>99874.01</v>
      </c>
      <c r="B55">
        <v>5887</v>
      </c>
      <c r="C55">
        <v>88.7</v>
      </c>
      <c r="D55">
        <v>0</v>
      </c>
      <c r="E55">
        <v>746677.75</v>
      </c>
      <c r="G55" s="32">
        <v>27</v>
      </c>
      <c r="H55" s="33">
        <v>782777.91450595181</v>
      </c>
      <c r="I55" s="33">
        <v>894.90549404814374</v>
      </c>
      <c r="J55" s="16"/>
      <c r="K55" s="16"/>
      <c r="L55" s="16"/>
      <c r="M55" s="16"/>
      <c r="N55" s="16"/>
      <c r="O55" s="29"/>
    </row>
    <row r="56" spans="1:15">
      <c r="A56">
        <v>81195.5</v>
      </c>
      <c r="B56">
        <v>5516</v>
      </c>
      <c r="C56">
        <v>88</v>
      </c>
      <c r="D56">
        <v>0</v>
      </c>
      <c r="E56">
        <v>720852.5</v>
      </c>
      <c r="G56" s="32">
        <v>28</v>
      </c>
      <c r="H56" s="33">
        <v>686832.9827574644</v>
      </c>
      <c r="I56" s="33">
        <v>14808.987242535572</v>
      </c>
      <c r="J56" s="16"/>
      <c r="K56" s="16"/>
      <c r="L56" s="16"/>
      <c r="M56" s="16"/>
      <c r="N56" s="16"/>
      <c r="O56" s="29"/>
    </row>
    <row r="57" spans="1:15">
      <c r="A57">
        <v>27808.6</v>
      </c>
      <c r="B57">
        <v>2863</v>
      </c>
      <c r="C57">
        <v>89.3</v>
      </c>
      <c r="D57">
        <v>0</v>
      </c>
      <c r="E57">
        <v>487464.91</v>
      </c>
      <c r="G57" s="32">
        <v>29</v>
      </c>
      <c r="H57" s="33">
        <v>598970.7120727693</v>
      </c>
      <c r="I57" s="33">
        <v>-87126.302072769322</v>
      </c>
      <c r="J57" s="16"/>
      <c r="K57" s="16"/>
      <c r="L57" s="16"/>
      <c r="M57" s="16"/>
      <c r="N57" s="16"/>
      <c r="O57" s="29"/>
    </row>
    <row r="58" spans="1:15">
      <c r="A58">
        <v>19365.060000000001</v>
      </c>
      <c r="B58">
        <v>2378</v>
      </c>
      <c r="C58">
        <v>94.8</v>
      </c>
      <c r="D58">
        <v>0</v>
      </c>
      <c r="E58">
        <v>518049.26</v>
      </c>
      <c r="G58" s="32">
        <v>30</v>
      </c>
      <c r="H58" s="33">
        <v>546108.93584636715</v>
      </c>
      <c r="I58" s="33">
        <v>-8725.1458463671152</v>
      </c>
      <c r="J58" s="16"/>
      <c r="K58" s="16"/>
      <c r="L58" s="16"/>
      <c r="M58" s="16"/>
      <c r="N58" s="16"/>
      <c r="O58" s="29"/>
    </row>
    <row r="59" spans="1:15">
      <c r="A59">
        <v>59405.68</v>
      </c>
      <c r="B59">
        <v>2515</v>
      </c>
      <c r="C59">
        <v>76</v>
      </c>
      <c r="D59">
        <v>0</v>
      </c>
      <c r="E59">
        <v>500298.48</v>
      </c>
      <c r="G59" s="32">
        <v>31</v>
      </c>
      <c r="H59" s="33">
        <v>527704.28383321897</v>
      </c>
      <c r="I59" s="33">
        <v>-27531.263833218953</v>
      </c>
      <c r="J59" s="16"/>
      <c r="K59" s="16"/>
      <c r="L59" s="16"/>
      <c r="M59" s="16"/>
      <c r="N59" s="16"/>
      <c r="O59" s="29"/>
    </row>
    <row r="60" spans="1:15">
      <c r="A60">
        <v>118910.48</v>
      </c>
      <c r="B60">
        <v>4022</v>
      </c>
      <c r="C60">
        <v>87.1</v>
      </c>
      <c r="D60">
        <v>0</v>
      </c>
      <c r="E60">
        <v>617291.15</v>
      </c>
      <c r="G60" s="32">
        <v>32</v>
      </c>
      <c r="H60" s="33">
        <v>513175.14733030304</v>
      </c>
      <c r="I60" s="33">
        <v>-85257.767330303031</v>
      </c>
      <c r="J60" s="16"/>
      <c r="K60" s="16"/>
      <c r="L60" s="16"/>
      <c r="M60" s="16"/>
      <c r="N60" s="16"/>
      <c r="O60" s="29"/>
    </row>
    <row r="61" spans="1:15">
      <c r="A61">
        <v>52952.12</v>
      </c>
      <c r="B61">
        <v>4377</v>
      </c>
      <c r="C61">
        <v>88.6</v>
      </c>
      <c r="D61">
        <v>0</v>
      </c>
      <c r="E61">
        <v>553756.43000000005</v>
      </c>
      <c r="G61" s="32">
        <v>33</v>
      </c>
      <c r="H61" s="33">
        <v>759645.45424280385</v>
      </c>
      <c r="I61" s="33">
        <v>-117780.42424280383</v>
      </c>
      <c r="J61" s="16"/>
      <c r="K61" s="16"/>
      <c r="L61" s="16"/>
      <c r="M61" s="16"/>
      <c r="N61" s="16"/>
      <c r="O61" s="29"/>
    </row>
    <row r="62" spans="1:15">
      <c r="A62">
        <v>74907.98</v>
      </c>
      <c r="B62">
        <v>5306</v>
      </c>
      <c r="C62">
        <v>95.6</v>
      </c>
      <c r="D62">
        <v>0</v>
      </c>
      <c r="E62">
        <v>749559.71</v>
      </c>
      <c r="G62" s="32">
        <v>34</v>
      </c>
      <c r="H62" s="33">
        <v>862578.25283096626</v>
      </c>
      <c r="I62" s="33">
        <v>-63100.49283096625</v>
      </c>
      <c r="J62" s="16"/>
      <c r="K62" s="16"/>
      <c r="L62" s="16"/>
      <c r="M62" s="16"/>
      <c r="N62" s="16"/>
      <c r="O62" s="29"/>
    </row>
    <row r="63" spans="1:15">
      <c r="A63">
        <v>37284.660000000003</v>
      </c>
      <c r="B63">
        <v>3928</v>
      </c>
      <c r="C63">
        <v>86.5</v>
      </c>
      <c r="D63">
        <v>0</v>
      </c>
      <c r="E63">
        <v>615966.48</v>
      </c>
      <c r="G63" s="32">
        <v>35</v>
      </c>
      <c r="H63" s="33">
        <v>809371.62443805498</v>
      </c>
      <c r="I63" s="33">
        <v>-10419.454438054934</v>
      </c>
      <c r="J63" s="16"/>
      <c r="K63" s="16"/>
      <c r="L63" s="16"/>
      <c r="M63" s="16"/>
      <c r="N63" s="16"/>
      <c r="O63" s="29"/>
    </row>
    <row r="64" spans="1:15">
      <c r="A64">
        <v>50343.19</v>
      </c>
      <c r="B64">
        <v>3845</v>
      </c>
      <c r="C64">
        <v>88.7</v>
      </c>
      <c r="D64">
        <v>0</v>
      </c>
      <c r="E64">
        <v>572011.19999999995</v>
      </c>
      <c r="G64" s="32">
        <v>36</v>
      </c>
      <c r="H64" s="33">
        <v>837541.49436946143</v>
      </c>
      <c r="I64" s="33">
        <v>-36561.714369461406</v>
      </c>
      <c r="J64" s="16"/>
      <c r="K64" s="16"/>
      <c r="L64" s="16"/>
      <c r="M64" s="16"/>
      <c r="N64" s="16"/>
      <c r="O64" s="29"/>
    </row>
    <row r="65" spans="1:15">
      <c r="A65">
        <v>74954.47</v>
      </c>
      <c r="B65">
        <v>6620</v>
      </c>
      <c r="C65">
        <v>91.1</v>
      </c>
      <c r="D65">
        <v>0</v>
      </c>
      <c r="E65">
        <v>761860.19</v>
      </c>
      <c r="G65" s="32">
        <v>37</v>
      </c>
      <c r="H65" s="33">
        <v>763491.41135426227</v>
      </c>
      <c r="I65" s="33">
        <v>57102.518645737786</v>
      </c>
      <c r="J65" s="16"/>
      <c r="K65" s="16"/>
      <c r="L65" s="16"/>
      <c r="M65" s="16"/>
      <c r="N65" s="16"/>
      <c r="O65" s="29"/>
    </row>
    <row r="66" spans="1:15">
      <c r="A66">
        <v>70040.31</v>
      </c>
      <c r="B66">
        <v>9175</v>
      </c>
      <c r="C66">
        <v>95.1</v>
      </c>
      <c r="D66">
        <v>0</v>
      </c>
      <c r="E66">
        <v>784502.68</v>
      </c>
      <c r="G66" s="32">
        <v>38</v>
      </c>
      <c r="H66" s="33">
        <v>752691.90416217491</v>
      </c>
      <c r="I66" s="33">
        <v>-34361.374162174878</v>
      </c>
      <c r="J66" s="16"/>
      <c r="K66" s="16"/>
      <c r="L66" s="16"/>
      <c r="M66" s="16"/>
      <c r="N66" s="16"/>
      <c r="O66" s="29"/>
    </row>
    <row r="67" spans="1:15">
      <c r="A67">
        <v>51148.69</v>
      </c>
      <c r="B67">
        <v>7940</v>
      </c>
      <c r="C67">
        <v>93.3</v>
      </c>
      <c r="D67">
        <v>0</v>
      </c>
      <c r="E67">
        <v>717141.55</v>
      </c>
      <c r="G67" s="32">
        <v>39</v>
      </c>
      <c r="H67" s="33">
        <v>741266.28338870639</v>
      </c>
      <c r="I67" s="33">
        <v>-4632.8833887063665</v>
      </c>
      <c r="J67" s="16"/>
      <c r="K67" s="16"/>
      <c r="L67" s="16"/>
      <c r="M67" s="16"/>
      <c r="N67" s="16"/>
      <c r="O67" s="29"/>
    </row>
    <row r="68" spans="1:15">
      <c r="A68">
        <v>79346.100000000006</v>
      </c>
      <c r="B68">
        <v>9628</v>
      </c>
      <c r="C68">
        <v>99</v>
      </c>
      <c r="D68">
        <v>0</v>
      </c>
      <c r="E68">
        <v>685379.08</v>
      </c>
      <c r="G68" s="32">
        <v>40</v>
      </c>
      <c r="H68" s="33">
        <v>821456.07371675514</v>
      </c>
      <c r="I68" s="33">
        <v>7167.7762832448352</v>
      </c>
      <c r="J68" s="16"/>
      <c r="K68" s="16"/>
      <c r="L68" s="16"/>
      <c r="M68" s="16"/>
      <c r="N68" s="16"/>
      <c r="O68" s="29"/>
    </row>
    <row r="69" spans="1:15">
      <c r="A69">
        <v>42018.400000000001</v>
      </c>
      <c r="B69">
        <v>8296</v>
      </c>
      <c r="C69">
        <v>91.8</v>
      </c>
      <c r="D69">
        <v>0</v>
      </c>
      <c r="E69">
        <v>740496.65</v>
      </c>
      <c r="G69" s="32">
        <v>41</v>
      </c>
      <c r="H69" s="33">
        <v>584650.14795945899</v>
      </c>
      <c r="I69" s="33">
        <v>7545.7020405409858</v>
      </c>
      <c r="J69" s="16"/>
      <c r="K69" s="16"/>
      <c r="L69" s="16"/>
      <c r="M69" s="16"/>
      <c r="N69" s="16"/>
      <c r="O69" s="29"/>
    </row>
    <row r="70" spans="1:15">
      <c r="A70">
        <v>70937.240000000005</v>
      </c>
      <c r="B70">
        <v>3595</v>
      </c>
      <c r="C70">
        <v>88.9</v>
      </c>
      <c r="D70">
        <v>0</v>
      </c>
      <c r="E70">
        <v>661927.14</v>
      </c>
      <c r="G70" s="32">
        <v>42</v>
      </c>
      <c r="H70" s="33">
        <v>518831.11660986778</v>
      </c>
      <c r="I70" s="33">
        <v>13813.343390132184</v>
      </c>
      <c r="J70" s="16"/>
      <c r="K70" s="16"/>
      <c r="L70" s="16"/>
      <c r="M70" s="16"/>
      <c r="N70" s="16"/>
      <c r="O70" s="29"/>
    </row>
    <row r="71" spans="1:15">
      <c r="A71">
        <v>36813.449999999997</v>
      </c>
      <c r="B71">
        <v>2834</v>
      </c>
      <c r="C71">
        <v>81.8</v>
      </c>
      <c r="D71">
        <v>0</v>
      </c>
      <c r="E71">
        <v>479050.5</v>
      </c>
      <c r="G71" s="32">
        <v>43</v>
      </c>
      <c r="H71" s="33">
        <v>586574.28404237726</v>
      </c>
      <c r="I71" s="33">
        <v>70854.895957622794</v>
      </c>
      <c r="J71" s="16"/>
      <c r="K71" s="16"/>
      <c r="L71" s="16"/>
      <c r="M71" s="16"/>
      <c r="N71" s="16"/>
      <c r="O71" s="29"/>
    </row>
    <row r="72" spans="1:15">
      <c r="A72">
        <v>60571.82</v>
      </c>
      <c r="B72">
        <v>3193</v>
      </c>
      <c r="C72">
        <v>99</v>
      </c>
      <c r="D72">
        <v>0</v>
      </c>
      <c r="E72">
        <v>605023.87</v>
      </c>
      <c r="G72" s="32">
        <v>44</v>
      </c>
      <c r="H72" s="33">
        <v>591136.96180645295</v>
      </c>
      <c r="I72" s="33">
        <v>14041.03819354705</v>
      </c>
      <c r="J72" s="16"/>
      <c r="K72" s="16"/>
      <c r="L72" s="16"/>
      <c r="M72" s="16"/>
      <c r="N72" s="16"/>
      <c r="O72" s="29"/>
    </row>
    <row r="73" spans="1:15">
      <c r="A73">
        <v>55081.16</v>
      </c>
      <c r="B73">
        <v>5485</v>
      </c>
      <c r="C73">
        <v>88</v>
      </c>
      <c r="D73">
        <v>0</v>
      </c>
      <c r="E73">
        <v>674774.09</v>
      </c>
      <c r="G73" s="32">
        <v>45</v>
      </c>
      <c r="H73" s="33">
        <v>729943.73248675244</v>
      </c>
      <c r="I73" s="33">
        <v>-134476.13248675247</v>
      </c>
      <c r="J73" s="16"/>
      <c r="K73" s="16"/>
      <c r="L73" s="16"/>
      <c r="M73" s="16"/>
      <c r="N73" s="16"/>
      <c r="O73" s="29"/>
    </row>
    <row r="74" spans="1:15">
      <c r="A74">
        <v>46201.46</v>
      </c>
      <c r="B74">
        <v>5918</v>
      </c>
      <c r="C74">
        <v>78.8</v>
      </c>
      <c r="D74">
        <v>0</v>
      </c>
      <c r="E74">
        <v>616069.41</v>
      </c>
      <c r="G74" s="32">
        <v>46</v>
      </c>
      <c r="H74" s="33">
        <v>648783.24204645702</v>
      </c>
      <c r="I74" s="33">
        <v>-49179.842046456994</v>
      </c>
      <c r="J74" s="16"/>
      <c r="K74" s="16"/>
      <c r="L74" s="16"/>
      <c r="M74" s="16"/>
      <c r="N74" s="16"/>
      <c r="O74" s="29"/>
    </row>
    <row r="75" spans="1:15">
      <c r="A75">
        <v>53762.92</v>
      </c>
      <c r="B75">
        <v>6821</v>
      </c>
      <c r="C75">
        <v>94.6</v>
      </c>
      <c r="D75">
        <v>0</v>
      </c>
      <c r="E75">
        <v>630829.93999999994</v>
      </c>
      <c r="G75" s="32">
        <v>47</v>
      </c>
      <c r="H75" s="33">
        <v>588195.63782607205</v>
      </c>
      <c r="I75" s="33">
        <v>26604.452173927915</v>
      </c>
      <c r="J75" s="16"/>
      <c r="K75" s="16"/>
      <c r="L75" s="16"/>
      <c r="M75" s="16"/>
      <c r="N75" s="16"/>
      <c r="O75" s="29"/>
    </row>
    <row r="76" spans="1:15">
      <c r="A76">
        <v>70144.78</v>
      </c>
      <c r="B76">
        <v>6806</v>
      </c>
      <c r="C76">
        <v>93.1</v>
      </c>
      <c r="D76">
        <v>0</v>
      </c>
      <c r="E76">
        <v>788087.68</v>
      </c>
      <c r="G76" s="32">
        <v>48</v>
      </c>
      <c r="H76" s="33">
        <v>579448.66836415569</v>
      </c>
      <c r="I76" s="33">
        <v>5917.0616358442931</v>
      </c>
      <c r="J76" s="16"/>
      <c r="K76" s="16"/>
      <c r="L76" s="16"/>
      <c r="M76" s="16"/>
      <c r="N76" s="16"/>
      <c r="O76" s="29"/>
    </row>
    <row r="77" spans="1:15">
      <c r="A77">
        <v>58749.63</v>
      </c>
      <c r="B77">
        <v>8252</v>
      </c>
      <c r="C77">
        <v>85.2</v>
      </c>
      <c r="D77">
        <v>0</v>
      </c>
      <c r="E77">
        <v>680840.36</v>
      </c>
      <c r="G77" s="32">
        <v>49</v>
      </c>
      <c r="H77" s="33">
        <v>645620.53261080373</v>
      </c>
      <c r="I77" s="33">
        <v>-22808.792610803735</v>
      </c>
      <c r="J77" s="16"/>
      <c r="K77" s="16"/>
      <c r="L77" s="16"/>
      <c r="M77" s="16"/>
      <c r="N77" s="16"/>
      <c r="O77" s="29"/>
    </row>
    <row r="78" spans="1:15">
      <c r="A78">
        <v>56973.18</v>
      </c>
      <c r="B78">
        <v>6662</v>
      </c>
      <c r="C78">
        <v>77.7</v>
      </c>
      <c r="D78">
        <v>0</v>
      </c>
      <c r="E78">
        <v>643657.47</v>
      </c>
      <c r="G78" s="32">
        <v>50</v>
      </c>
      <c r="H78" s="33">
        <v>587653.90828911786</v>
      </c>
      <c r="I78" s="33">
        <v>15643.661710882094</v>
      </c>
      <c r="J78" s="16"/>
      <c r="K78" s="16"/>
      <c r="L78" s="16"/>
      <c r="M78" s="16"/>
      <c r="N78" s="16"/>
      <c r="O78" s="29"/>
    </row>
    <row r="79" spans="1:15">
      <c r="A79">
        <v>54872.82</v>
      </c>
      <c r="B79">
        <v>5962</v>
      </c>
      <c r="C79">
        <v>85.4</v>
      </c>
      <c r="D79">
        <v>0</v>
      </c>
      <c r="E79">
        <v>691112.6</v>
      </c>
      <c r="G79" s="32">
        <v>51</v>
      </c>
      <c r="H79" s="33">
        <v>599702.86481245048</v>
      </c>
      <c r="I79" s="33">
        <v>25969.995187549503</v>
      </c>
      <c r="J79" s="16"/>
      <c r="K79" s="16"/>
      <c r="L79" s="16"/>
      <c r="M79" s="16"/>
      <c r="N79" s="16"/>
      <c r="O79" s="29"/>
    </row>
    <row r="80" spans="1:15">
      <c r="A80">
        <v>80562.81</v>
      </c>
      <c r="B80">
        <v>7470</v>
      </c>
      <c r="C80">
        <v>83.5</v>
      </c>
      <c r="D80">
        <v>0</v>
      </c>
      <c r="E80">
        <v>776922.17</v>
      </c>
      <c r="G80" s="32">
        <v>52</v>
      </c>
      <c r="H80" s="33">
        <v>727266.74099514214</v>
      </c>
      <c r="I80" s="33">
        <v>46548.399004857871</v>
      </c>
      <c r="J80" s="16"/>
      <c r="K80" s="16"/>
      <c r="L80" s="16"/>
      <c r="M80" s="16"/>
      <c r="N80" s="16"/>
      <c r="O80" s="29"/>
    </row>
    <row r="81" spans="1:15">
      <c r="A81">
        <v>77999.899999999994</v>
      </c>
      <c r="B81">
        <v>5974</v>
      </c>
      <c r="C81">
        <v>81.3</v>
      </c>
      <c r="D81">
        <v>0</v>
      </c>
      <c r="E81">
        <v>636561.34</v>
      </c>
      <c r="G81" s="32">
        <v>53</v>
      </c>
      <c r="H81" s="33">
        <v>554718.74394106679</v>
      </c>
      <c r="I81" s="33">
        <v>-91184.493941066787</v>
      </c>
      <c r="J81" s="16"/>
      <c r="K81" s="16"/>
      <c r="L81" s="16"/>
      <c r="M81" s="16"/>
      <c r="N81" s="16"/>
      <c r="O81" s="29"/>
    </row>
    <row r="82" spans="1:15">
      <c r="A82">
        <v>60881.01</v>
      </c>
      <c r="B82">
        <v>5410</v>
      </c>
      <c r="C82">
        <v>83.9</v>
      </c>
      <c r="D82">
        <v>0</v>
      </c>
      <c r="E82">
        <v>621369.57999999996</v>
      </c>
      <c r="G82" s="32">
        <v>54</v>
      </c>
      <c r="H82" s="33">
        <v>710513.33544218761</v>
      </c>
      <c r="I82" s="33">
        <v>36164.414557812386</v>
      </c>
      <c r="J82" s="16"/>
      <c r="K82" s="16"/>
      <c r="L82" s="16"/>
      <c r="M82" s="16"/>
      <c r="N82" s="16"/>
      <c r="O82" s="29"/>
    </row>
    <row r="83" spans="1:15">
      <c r="A83">
        <v>60628.38</v>
      </c>
      <c r="B83">
        <v>4451</v>
      </c>
      <c r="C83">
        <v>89.6</v>
      </c>
      <c r="D83">
        <v>0</v>
      </c>
      <c r="E83">
        <v>682208.01</v>
      </c>
      <c r="G83" s="32">
        <v>55</v>
      </c>
      <c r="H83" s="33">
        <v>673998.95464871079</v>
      </c>
      <c r="I83" s="33">
        <v>46853.545351289213</v>
      </c>
      <c r="J83" s="16"/>
      <c r="K83" s="16"/>
      <c r="L83" s="16"/>
      <c r="M83" s="16"/>
      <c r="N83" s="16"/>
      <c r="O83" s="29"/>
    </row>
    <row r="84" spans="1:15">
      <c r="A84">
        <v>72731.14</v>
      </c>
      <c r="B84">
        <v>4644</v>
      </c>
      <c r="C84">
        <v>87.1</v>
      </c>
      <c r="D84">
        <v>0</v>
      </c>
      <c r="E84">
        <v>727241.86</v>
      </c>
      <c r="G84" s="32">
        <v>56</v>
      </c>
      <c r="H84" s="33">
        <v>525677.32127779815</v>
      </c>
      <c r="I84" s="33">
        <v>-38212.411277798179</v>
      </c>
      <c r="J84" s="16"/>
      <c r="K84" s="16"/>
      <c r="L84" s="16"/>
      <c r="M84" s="16"/>
      <c r="N84" s="16"/>
      <c r="O84" s="29"/>
    </row>
    <row r="85" spans="1:15">
      <c r="A85">
        <v>36475.71</v>
      </c>
      <c r="B85">
        <v>3559</v>
      </c>
      <c r="C85">
        <v>83.6</v>
      </c>
      <c r="D85">
        <v>0</v>
      </c>
      <c r="E85">
        <v>569100.78</v>
      </c>
      <c r="G85" s="32">
        <v>57</v>
      </c>
      <c r="H85" s="33">
        <v>515500.82124049019</v>
      </c>
      <c r="I85" s="33">
        <v>2548.4387595098233</v>
      </c>
      <c r="J85" s="16"/>
      <c r="K85" s="16"/>
      <c r="L85" s="16"/>
      <c r="M85" s="16"/>
      <c r="N85" s="16"/>
      <c r="O85" s="29"/>
    </row>
    <row r="86" spans="1:15">
      <c r="A86">
        <v>55388.11</v>
      </c>
      <c r="B86">
        <v>3091</v>
      </c>
      <c r="C86">
        <v>85.4</v>
      </c>
      <c r="D86">
        <v>0</v>
      </c>
      <c r="E86">
        <v>574436.29</v>
      </c>
      <c r="G86" s="32">
        <v>58</v>
      </c>
      <c r="H86" s="33">
        <v>512247.59451380529</v>
      </c>
      <c r="I86" s="33">
        <v>-11949.114513805311</v>
      </c>
      <c r="J86" s="16"/>
      <c r="K86" s="16"/>
      <c r="L86" s="16"/>
      <c r="M86" s="16"/>
      <c r="N86" s="16"/>
      <c r="O86" s="29"/>
    </row>
    <row r="87" spans="1:15">
      <c r="A87">
        <v>88443.77</v>
      </c>
      <c r="B87">
        <v>4004</v>
      </c>
      <c r="C87">
        <v>91.9</v>
      </c>
      <c r="D87">
        <v>0</v>
      </c>
      <c r="E87">
        <v>611766.72</v>
      </c>
      <c r="G87" s="32">
        <v>59</v>
      </c>
      <c r="H87" s="33">
        <v>665455.96022935375</v>
      </c>
      <c r="I87" s="33">
        <v>-48164.810229353723</v>
      </c>
      <c r="J87" s="16"/>
      <c r="K87" s="16"/>
      <c r="L87" s="16"/>
      <c r="M87" s="16"/>
      <c r="N87" s="16"/>
      <c r="O87" s="29"/>
    </row>
    <row r="88" spans="1:15">
      <c r="A88">
        <v>78231.91</v>
      </c>
      <c r="B88">
        <v>3788</v>
      </c>
      <c r="C88">
        <v>88.5</v>
      </c>
      <c r="D88">
        <v>0</v>
      </c>
      <c r="E88">
        <v>614596.31999999995</v>
      </c>
      <c r="G88" s="32">
        <v>60</v>
      </c>
      <c r="H88" s="33">
        <v>604179.61084745906</v>
      </c>
      <c r="I88" s="33">
        <v>-50423.180847459007</v>
      </c>
      <c r="J88" s="16"/>
      <c r="K88" s="16"/>
      <c r="L88" s="16"/>
      <c r="M88" s="16"/>
      <c r="N88" s="16"/>
      <c r="O88" s="29"/>
    </row>
    <row r="89" spans="1:15">
      <c r="A89">
        <v>18996.32</v>
      </c>
      <c r="B89">
        <v>1260</v>
      </c>
      <c r="C89">
        <v>86.4</v>
      </c>
      <c r="D89">
        <v>0</v>
      </c>
      <c r="E89">
        <v>450711.92</v>
      </c>
      <c r="G89" s="32">
        <v>61</v>
      </c>
      <c r="H89" s="33">
        <v>681757.71352551877</v>
      </c>
      <c r="I89" s="33">
        <v>67801.996474481188</v>
      </c>
      <c r="J89" s="16"/>
      <c r="K89" s="16"/>
      <c r="L89" s="16"/>
      <c r="M89" s="16"/>
      <c r="N89" s="16"/>
      <c r="O89" s="29"/>
    </row>
    <row r="90" spans="1:15">
      <c r="A90">
        <v>50517.94</v>
      </c>
      <c r="B90">
        <v>7024</v>
      </c>
      <c r="C90">
        <v>79.2</v>
      </c>
      <c r="D90">
        <v>0</v>
      </c>
      <c r="E90">
        <v>711213.46</v>
      </c>
      <c r="G90" s="32">
        <v>62</v>
      </c>
      <c r="H90" s="33">
        <v>564488.4504234615</v>
      </c>
      <c r="I90" s="33">
        <v>51478.02957653848</v>
      </c>
      <c r="J90" s="16"/>
      <c r="K90" s="16"/>
      <c r="L90" s="16"/>
      <c r="M90" s="16"/>
      <c r="N90" s="16"/>
      <c r="O90" s="29"/>
    </row>
    <row r="91" spans="1:15">
      <c r="A91">
        <v>141540.29</v>
      </c>
      <c r="B91">
        <v>5400</v>
      </c>
      <c r="C91">
        <v>87</v>
      </c>
      <c r="D91">
        <v>0</v>
      </c>
      <c r="E91">
        <v>627171.9</v>
      </c>
      <c r="G91" s="32">
        <v>63</v>
      </c>
      <c r="H91" s="33">
        <v>583494.34096045792</v>
      </c>
      <c r="I91" s="33">
        <v>-11483.140960457968</v>
      </c>
      <c r="J91" s="16"/>
      <c r="K91" s="16"/>
      <c r="L91" s="16"/>
      <c r="M91" s="16"/>
      <c r="N91" s="16"/>
      <c r="O91" s="29"/>
    </row>
    <row r="92" spans="1:15">
      <c r="A92">
        <v>82116.19</v>
      </c>
      <c r="B92">
        <v>5988</v>
      </c>
      <c r="C92">
        <v>91.8</v>
      </c>
      <c r="D92">
        <v>0</v>
      </c>
      <c r="E92">
        <v>739852.58</v>
      </c>
      <c r="G92" s="32">
        <v>64</v>
      </c>
      <c r="H92" s="33">
        <v>712883.14799664938</v>
      </c>
      <c r="I92" s="33">
        <v>48977.042003350565</v>
      </c>
      <c r="J92" s="16"/>
      <c r="K92" s="16"/>
      <c r="L92" s="16"/>
      <c r="M92" s="16"/>
      <c r="N92" s="16"/>
      <c r="O92" s="29"/>
    </row>
    <row r="93" spans="1:15">
      <c r="A93">
        <v>31207.51</v>
      </c>
      <c r="B93">
        <v>3701</v>
      </c>
      <c r="C93">
        <v>84.7</v>
      </c>
      <c r="D93">
        <v>0</v>
      </c>
      <c r="E93">
        <v>586307.22</v>
      </c>
      <c r="G93" s="32">
        <v>65</v>
      </c>
      <c r="H93" s="33">
        <v>804803.23132441589</v>
      </c>
      <c r="I93" s="33">
        <v>-20300.551324415836</v>
      </c>
      <c r="J93" s="16"/>
      <c r="K93" s="16"/>
      <c r="L93" s="16"/>
      <c r="M93" s="16"/>
      <c r="N93" s="16"/>
      <c r="O93" s="29"/>
    </row>
    <row r="94" spans="1:15">
      <c r="A94">
        <v>38966.589999999997</v>
      </c>
      <c r="B94">
        <v>4509</v>
      </c>
      <c r="C94">
        <v>91.1</v>
      </c>
      <c r="D94">
        <v>0</v>
      </c>
      <c r="E94">
        <v>585937.48</v>
      </c>
      <c r="G94" s="32">
        <v>66</v>
      </c>
      <c r="H94" s="33">
        <v>735737.79398759035</v>
      </c>
      <c r="I94" s="33">
        <v>-18596.243987590307</v>
      </c>
      <c r="J94" s="16"/>
      <c r="K94" s="16"/>
      <c r="L94" s="16"/>
      <c r="M94" s="16"/>
      <c r="N94" s="16"/>
      <c r="O94" s="29"/>
    </row>
    <row r="95" spans="1:15">
      <c r="A95">
        <v>67439.3</v>
      </c>
      <c r="B95">
        <v>6477</v>
      </c>
      <c r="C95">
        <v>90.9</v>
      </c>
      <c r="D95">
        <v>0</v>
      </c>
      <c r="E95">
        <v>753473.55</v>
      </c>
      <c r="G95" s="32">
        <v>67</v>
      </c>
      <c r="H95" s="33">
        <v>842407.3756497904</v>
      </c>
      <c r="I95" s="33">
        <v>-157028.29564979044</v>
      </c>
      <c r="J95" s="16"/>
      <c r="K95" s="16"/>
      <c r="L95" s="16"/>
      <c r="M95" s="16"/>
      <c r="N95" s="16"/>
      <c r="O95" s="29"/>
    </row>
    <row r="96" spans="1:15">
      <c r="A96">
        <v>86421.88</v>
      </c>
      <c r="B96">
        <v>7970</v>
      </c>
      <c r="C96">
        <v>91.3</v>
      </c>
      <c r="D96">
        <v>0</v>
      </c>
      <c r="E96">
        <v>838250.32</v>
      </c>
      <c r="G96" s="32">
        <v>68</v>
      </c>
      <c r="H96" s="33">
        <v>732590.91614724346</v>
      </c>
      <c r="I96" s="33">
        <v>7905.7338527565589</v>
      </c>
      <c r="J96" s="16"/>
      <c r="K96" s="16"/>
      <c r="L96" s="16"/>
      <c r="M96" s="16"/>
      <c r="N96" s="16"/>
      <c r="O96" s="29"/>
    </row>
    <row r="97" spans="1:15">
      <c r="A97">
        <v>9534.65</v>
      </c>
      <c r="B97">
        <v>6057</v>
      </c>
      <c r="C97">
        <v>94.1</v>
      </c>
      <c r="D97">
        <v>0</v>
      </c>
      <c r="E97">
        <v>607898.12</v>
      </c>
      <c r="G97" s="32">
        <v>69</v>
      </c>
      <c r="H97" s="33">
        <v>599896.8226341136</v>
      </c>
      <c r="I97" s="33">
        <v>62030.317365886411</v>
      </c>
      <c r="J97" s="16"/>
      <c r="K97" s="16"/>
      <c r="L97" s="16"/>
      <c r="M97" s="16"/>
      <c r="N97" s="16"/>
      <c r="O97" s="29"/>
    </row>
    <row r="98" spans="1:15">
      <c r="A98">
        <v>61132.07</v>
      </c>
      <c r="B98">
        <v>6394</v>
      </c>
      <c r="C98">
        <v>91</v>
      </c>
      <c r="D98">
        <v>0</v>
      </c>
      <c r="E98">
        <v>691113.62</v>
      </c>
      <c r="G98" s="32">
        <v>70</v>
      </c>
      <c r="H98" s="33">
        <v>513363.43084082182</v>
      </c>
      <c r="I98" s="33">
        <v>-34312.93084082182</v>
      </c>
      <c r="J98" s="16"/>
      <c r="K98" s="16"/>
      <c r="L98" s="16"/>
      <c r="M98" s="16"/>
      <c r="N98" s="16"/>
      <c r="O98" s="29"/>
    </row>
    <row r="99" spans="1:15">
      <c r="A99">
        <v>78839.39</v>
      </c>
      <c r="B99">
        <v>5150</v>
      </c>
      <c r="C99">
        <v>85.8</v>
      </c>
      <c r="D99">
        <v>0</v>
      </c>
      <c r="E99">
        <v>735509.4</v>
      </c>
      <c r="G99" s="32">
        <v>71</v>
      </c>
      <c r="H99" s="33">
        <v>603705.39521717967</v>
      </c>
      <c r="I99" s="33">
        <v>1318.4747828203253</v>
      </c>
      <c r="J99" s="16"/>
      <c r="K99" s="16"/>
      <c r="L99" s="16"/>
      <c r="M99" s="16"/>
      <c r="N99" s="16"/>
      <c r="O99" s="29"/>
    </row>
    <row r="100" spans="1:15">
      <c r="A100">
        <v>38752.800000000003</v>
      </c>
      <c r="B100">
        <v>4712</v>
      </c>
      <c r="C100">
        <v>89.7</v>
      </c>
      <c r="D100">
        <v>0</v>
      </c>
      <c r="E100">
        <v>605775.32999999996</v>
      </c>
      <c r="G100" s="32">
        <v>72</v>
      </c>
      <c r="H100" s="33">
        <v>642226.85395231051</v>
      </c>
      <c r="I100" s="33">
        <v>32547.236047689454</v>
      </c>
      <c r="J100" s="16"/>
      <c r="K100" s="16"/>
      <c r="L100" s="16"/>
      <c r="M100" s="16"/>
      <c r="N100" s="16"/>
      <c r="O100" s="29"/>
    </row>
    <row r="101" spans="1:15">
      <c r="A101">
        <v>55101.1</v>
      </c>
      <c r="B101">
        <v>5281</v>
      </c>
      <c r="C101">
        <v>91</v>
      </c>
      <c r="D101">
        <v>0</v>
      </c>
      <c r="E101">
        <v>675177.68</v>
      </c>
      <c r="G101" s="32">
        <v>73</v>
      </c>
      <c r="H101" s="33">
        <v>619448.19454478484</v>
      </c>
      <c r="I101" s="33">
        <v>-3378.7845447848085</v>
      </c>
      <c r="J101" s="16"/>
      <c r="K101" s="16"/>
      <c r="L101" s="16"/>
      <c r="M101" s="16"/>
      <c r="N101" s="16"/>
      <c r="O101" s="29"/>
    </row>
    <row r="102" spans="1:15">
      <c r="A102">
        <v>53084.76</v>
      </c>
      <c r="B102">
        <v>3642</v>
      </c>
      <c r="C102">
        <v>91.4</v>
      </c>
      <c r="D102">
        <v>0</v>
      </c>
      <c r="E102">
        <v>635181.35</v>
      </c>
      <c r="G102" s="32">
        <v>74</v>
      </c>
      <c r="H102" s="33">
        <v>704948.79913251346</v>
      </c>
      <c r="I102" s="33">
        <v>-74118.85913251352</v>
      </c>
      <c r="J102" s="16"/>
      <c r="K102" s="16"/>
      <c r="L102" s="16"/>
      <c r="M102" s="16"/>
      <c r="N102" s="16"/>
      <c r="O102" s="29"/>
    </row>
    <row r="103" spans="1:15">
      <c r="A103">
        <v>63101.59</v>
      </c>
      <c r="B103">
        <v>4373</v>
      </c>
      <c r="C103">
        <v>90.4</v>
      </c>
      <c r="D103">
        <v>0</v>
      </c>
      <c r="E103">
        <v>586626.93999999994</v>
      </c>
      <c r="G103" s="32">
        <v>75</v>
      </c>
      <c r="H103" s="33">
        <v>719333.59055454133</v>
      </c>
      <c r="I103" s="33">
        <v>68754.089445458725</v>
      </c>
      <c r="J103" s="16"/>
      <c r="K103" s="16"/>
      <c r="L103" s="16"/>
      <c r="M103" s="16"/>
      <c r="N103" s="16"/>
      <c r="O103" s="29"/>
    </row>
    <row r="104" spans="1:15">
      <c r="A104">
        <v>90084.4</v>
      </c>
      <c r="B104">
        <v>6832</v>
      </c>
      <c r="C104">
        <v>80.5</v>
      </c>
      <c r="D104">
        <v>0</v>
      </c>
      <c r="E104">
        <v>740102.64</v>
      </c>
      <c r="G104" s="32">
        <v>76</v>
      </c>
      <c r="H104" s="33">
        <v>731495.73588376993</v>
      </c>
      <c r="I104" s="33">
        <v>-50655.375883769942</v>
      </c>
      <c r="J104" s="16"/>
      <c r="K104" s="16"/>
      <c r="L104" s="16"/>
      <c r="M104" s="16"/>
      <c r="N104" s="16"/>
      <c r="O104" s="29"/>
    </row>
    <row r="105" spans="1:15">
      <c r="A105">
        <v>32266.639999999999</v>
      </c>
      <c r="B105">
        <v>2414</v>
      </c>
      <c r="C105">
        <v>92.1</v>
      </c>
      <c r="D105">
        <v>0</v>
      </c>
      <c r="E105">
        <v>625514.04</v>
      </c>
      <c r="G105" s="32">
        <v>77</v>
      </c>
      <c r="H105" s="33">
        <v>653950.27830906259</v>
      </c>
      <c r="I105" s="33">
        <v>-10292.808309062617</v>
      </c>
      <c r="J105" s="16"/>
      <c r="K105" s="16"/>
      <c r="L105" s="16"/>
      <c r="M105" s="16"/>
      <c r="N105" s="16"/>
      <c r="O105" s="29"/>
    </row>
    <row r="106" spans="1:15">
      <c r="A106">
        <v>57919.07</v>
      </c>
      <c r="B106">
        <v>7374</v>
      </c>
      <c r="C106">
        <v>82.3</v>
      </c>
      <c r="D106">
        <v>0</v>
      </c>
      <c r="E106">
        <v>727227.2</v>
      </c>
      <c r="G106" s="32">
        <v>78</v>
      </c>
      <c r="H106" s="33">
        <v>650434.46325325104</v>
      </c>
      <c r="I106" s="33">
        <v>40678.136746748933</v>
      </c>
      <c r="J106" s="16"/>
      <c r="K106" s="16"/>
      <c r="L106" s="16"/>
      <c r="M106" s="16"/>
      <c r="N106" s="16"/>
      <c r="O106" s="29"/>
    </row>
    <row r="107" spans="1:15">
      <c r="A107">
        <v>74679.350000000006</v>
      </c>
      <c r="B107">
        <v>8739</v>
      </c>
      <c r="C107">
        <v>91.8</v>
      </c>
      <c r="D107">
        <v>0</v>
      </c>
      <c r="E107">
        <v>783797.89</v>
      </c>
      <c r="G107" s="32">
        <v>79</v>
      </c>
      <c r="H107" s="33">
        <v>725868.42603202688</v>
      </c>
      <c r="I107" s="33">
        <v>51053.743967973161</v>
      </c>
      <c r="J107" s="16"/>
      <c r="K107" s="16"/>
      <c r="L107" s="16"/>
      <c r="M107" s="16"/>
      <c r="N107" s="16"/>
      <c r="O107" s="29"/>
    </row>
    <row r="108" spans="1:15">
      <c r="A108">
        <v>64294.23</v>
      </c>
      <c r="B108">
        <v>6992</v>
      </c>
      <c r="C108">
        <v>94.1</v>
      </c>
      <c r="D108">
        <v>0</v>
      </c>
      <c r="E108">
        <v>795153.84</v>
      </c>
      <c r="G108" s="32">
        <v>80</v>
      </c>
      <c r="H108" s="33">
        <v>666061.50033892691</v>
      </c>
      <c r="I108" s="33">
        <v>-29500.160338926944</v>
      </c>
      <c r="J108" s="16"/>
      <c r="K108" s="16"/>
      <c r="L108" s="16"/>
      <c r="M108" s="16"/>
      <c r="N108" s="16"/>
      <c r="O108" s="29"/>
    </row>
    <row r="109" spans="1:15">
      <c r="A109">
        <v>31042.03</v>
      </c>
      <c r="B109">
        <v>7107</v>
      </c>
      <c r="C109">
        <v>87</v>
      </c>
      <c r="D109">
        <v>0</v>
      </c>
      <c r="E109">
        <v>665594.93999999994</v>
      </c>
      <c r="G109" s="32">
        <v>81</v>
      </c>
      <c r="H109" s="33">
        <v>634536.50239867542</v>
      </c>
      <c r="I109" s="33">
        <v>-13166.922398675466</v>
      </c>
      <c r="J109" s="16"/>
      <c r="K109" s="16"/>
      <c r="L109" s="16"/>
      <c r="M109" s="16"/>
      <c r="N109" s="16"/>
      <c r="O109" s="29"/>
    </row>
    <row r="110" spans="1:15">
      <c r="A110">
        <v>75265.02</v>
      </c>
      <c r="B110">
        <v>6975</v>
      </c>
      <c r="C110">
        <v>73.8</v>
      </c>
      <c r="D110">
        <v>0</v>
      </c>
      <c r="E110">
        <v>709478.39</v>
      </c>
      <c r="G110" s="32">
        <v>82</v>
      </c>
      <c r="H110" s="33">
        <v>618627.64866343525</v>
      </c>
      <c r="I110" s="33">
        <v>63580.361336564762</v>
      </c>
      <c r="J110" s="16"/>
      <c r="K110" s="16"/>
      <c r="L110" s="16"/>
      <c r="M110" s="16"/>
      <c r="N110" s="16"/>
      <c r="O110" s="29"/>
    </row>
    <row r="111" spans="1:15">
      <c r="A111">
        <v>69411.7</v>
      </c>
      <c r="B111">
        <v>5493</v>
      </c>
      <c r="C111">
        <v>86.5</v>
      </c>
      <c r="D111">
        <v>0</v>
      </c>
      <c r="E111">
        <v>664162.49</v>
      </c>
      <c r="G111" s="32">
        <v>83</v>
      </c>
      <c r="H111" s="33">
        <v>632054.30503033404</v>
      </c>
      <c r="I111" s="33">
        <v>95187.554969665944</v>
      </c>
      <c r="J111" s="16"/>
      <c r="K111" s="16"/>
      <c r="L111" s="16"/>
      <c r="M111" s="16"/>
      <c r="N111" s="16"/>
      <c r="O111" s="29"/>
    </row>
    <row r="112" spans="1:15">
      <c r="A112">
        <v>51056.15</v>
      </c>
      <c r="B112">
        <v>5686</v>
      </c>
      <c r="C112">
        <v>89.9</v>
      </c>
      <c r="D112">
        <v>0</v>
      </c>
      <c r="E112">
        <v>633494.21</v>
      </c>
      <c r="G112" s="32">
        <v>84</v>
      </c>
      <c r="H112" s="33">
        <v>542634.52878285467</v>
      </c>
      <c r="I112" s="33">
        <v>26466.251217145356</v>
      </c>
      <c r="J112" s="16"/>
      <c r="K112" s="16"/>
      <c r="L112" s="16"/>
      <c r="M112" s="16"/>
      <c r="N112" s="16"/>
      <c r="O112" s="29"/>
    </row>
    <row r="113" spans="1:15">
      <c r="A113">
        <v>52758.01</v>
      </c>
      <c r="B113">
        <v>4063</v>
      </c>
      <c r="C113">
        <v>91.7</v>
      </c>
      <c r="D113">
        <v>0</v>
      </c>
      <c r="E113">
        <v>713611.16</v>
      </c>
      <c r="G113" s="32">
        <v>85</v>
      </c>
      <c r="H113" s="33">
        <v>554399.24443105306</v>
      </c>
      <c r="I113" s="33">
        <v>20037.045568946982</v>
      </c>
      <c r="J113" s="16"/>
      <c r="K113" s="16"/>
      <c r="L113" s="16"/>
      <c r="M113" s="16"/>
      <c r="N113" s="16"/>
      <c r="O113" s="29"/>
    </row>
    <row r="114" spans="1:15">
      <c r="A114">
        <v>61426.04</v>
      </c>
      <c r="B114">
        <v>8966</v>
      </c>
      <c r="C114">
        <v>76.400000000000006</v>
      </c>
      <c r="D114">
        <v>0</v>
      </c>
      <c r="E114">
        <v>778397.97</v>
      </c>
      <c r="G114" s="32">
        <v>86</v>
      </c>
      <c r="H114" s="33">
        <v>643037.59561842168</v>
      </c>
      <c r="I114" s="33">
        <v>-31270.875618421705</v>
      </c>
      <c r="J114" s="16"/>
      <c r="K114" s="16"/>
      <c r="L114" s="16"/>
      <c r="M114" s="16"/>
      <c r="N114" s="16"/>
      <c r="O114" s="29"/>
    </row>
    <row r="115" spans="1:15">
      <c r="A115">
        <v>80176.34</v>
      </c>
      <c r="B115">
        <v>9489</v>
      </c>
      <c r="C115">
        <v>94.3</v>
      </c>
      <c r="D115">
        <v>0</v>
      </c>
      <c r="E115">
        <v>873380.02</v>
      </c>
      <c r="G115" s="32">
        <v>87</v>
      </c>
      <c r="H115" s="33">
        <v>613807.25365216192</v>
      </c>
      <c r="I115" s="33">
        <v>789.0663478380302</v>
      </c>
      <c r="J115" s="16"/>
      <c r="K115" s="16"/>
      <c r="L115" s="16"/>
      <c r="M115" s="16"/>
      <c r="N115" s="16"/>
      <c r="O115" s="29"/>
    </row>
    <row r="116" spans="1:15">
      <c r="A116">
        <v>33605.18</v>
      </c>
      <c r="B116">
        <v>9225</v>
      </c>
      <c r="C116">
        <v>88.4</v>
      </c>
      <c r="D116">
        <v>0</v>
      </c>
      <c r="E116">
        <v>697287.9</v>
      </c>
      <c r="G116" s="32">
        <v>88</v>
      </c>
      <c r="H116" s="33">
        <v>452867.89573884173</v>
      </c>
      <c r="I116" s="33">
        <v>-2155.9757388417493</v>
      </c>
      <c r="J116" s="16"/>
      <c r="K116" s="16"/>
      <c r="L116" s="16"/>
      <c r="M116" s="16"/>
      <c r="N116" s="16"/>
      <c r="O116" s="29"/>
    </row>
    <row r="117" spans="1:15">
      <c r="A117">
        <v>25990.54</v>
      </c>
      <c r="B117">
        <v>9249</v>
      </c>
      <c r="C117">
        <v>92.5</v>
      </c>
      <c r="D117">
        <v>0</v>
      </c>
      <c r="E117">
        <v>718074.79</v>
      </c>
      <c r="G117" s="32">
        <v>89</v>
      </c>
      <c r="H117" s="33">
        <v>662926.5531655607</v>
      </c>
      <c r="I117" s="33">
        <v>48286.906834439258</v>
      </c>
      <c r="J117" s="16"/>
      <c r="K117" s="16"/>
      <c r="L117" s="16"/>
      <c r="M117" s="16"/>
      <c r="N117" s="16"/>
      <c r="O117" s="29"/>
    </row>
    <row r="118" spans="1:15">
      <c r="A118">
        <v>43685.14</v>
      </c>
      <c r="B118">
        <v>7821</v>
      </c>
      <c r="C118">
        <v>91</v>
      </c>
      <c r="D118">
        <v>0</v>
      </c>
      <c r="E118">
        <v>714942.43</v>
      </c>
      <c r="G118" s="32">
        <v>90</v>
      </c>
      <c r="H118" s="33">
        <v>738177.13951308245</v>
      </c>
      <c r="I118" s="33">
        <v>-111005.23951308243</v>
      </c>
      <c r="J118" s="16"/>
      <c r="K118" s="16"/>
      <c r="L118" s="16"/>
      <c r="M118" s="16"/>
      <c r="N118" s="16"/>
      <c r="O118" s="29"/>
    </row>
    <row r="119" spans="1:15">
      <c r="A119">
        <v>57360.01</v>
      </c>
      <c r="B119">
        <v>8434</v>
      </c>
      <c r="C119">
        <v>84.1</v>
      </c>
      <c r="D119">
        <v>0</v>
      </c>
      <c r="E119">
        <v>820519.04</v>
      </c>
      <c r="G119" s="32">
        <v>91</v>
      </c>
      <c r="H119" s="33">
        <v>702083.51328320894</v>
      </c>
      <c r="I119" s="33">
        <v>37769.066716791014</v>
      </c>
      <c r="J119" s="16"/>
      <c r="K119" s="16"/>
      <c r="L119" s="16"/>
      <c r="M119" s="16"/>
      <c r="N119" s="16"/>
      <c r="O119" s="29"/>
    </row>
    <row r="120" spans="1:15">
      <c r="A120">
        <v>42415.47</v>
      </c>
      <c r="B120">
        <v>8512</v>
      </c>
      <c r="C120">
        <v>96.8</v>
      </c>
      <c r="D120">
        <v>0</v>
      </c>
      <c r="E120">
        <v>684217.32</v>
      </c>
      <c r="G120" s="32">
        <v>92</v>
      </c>
      <c r="H120" s="33">
        <v>544432.3079779885</v>
      </c>
      <c r="I120" s="33">
        <v>41874.912022011471</v>
      </c>
      <c r="J120" s="16"/>
      <c r="K120" s="16"/>
      <c r="L120" s="16"/>
      <c r="M120" s="16"/>
      <c r="N120" s="16"/>
      <c r="O120" s="29"/>
    </row>
    <row r="121" spans="1:15">
      <c r="A121">
        <v>54968.98</v>
      </c>
      <c r="B121">
        <v>7816</v>
      </c>
      <c r="C121">
        <v>95.7</v>
      </c>
      <c r="D121">
        <v>0</v>
      </c>
      <c r="E121">
        <v>735480.19</v>
      </c>
      <c r="G121" s="32">
        <v>93</v>
      </c>
      <c r="H121" s="33">
        <v>599477.42792720394</v>
      </c>
      <c r="I121" s="33">
        <v>-13539.947927203961</v>
      </c>
      <c r="J121" s="16"/>
      <c r="K121" s="16"/>
      <c r="L121" s="16"/>
      <c r="M121" s="16"/>
      <c r="N121" s="16"/>
      <c r="O121" s="29"/>
    </row>
    <row r="122" spans="1:15">
      <c r="A122">
        <v>43896.13</v>
      </c>
      <c r="B122">
        <v>3853</v>
      </c>
      <c r="C122">
        <v>83</v>
      </c>
      <c r="D122">
        <v>1</v>
      </c>
      <c r="E122">
        <v>509484.81</v>
      </c>
      <c r="G122" s="32">
        <v>94</v>
      </c>
      <c r="H122" s="33">
        <v>698641.62657639314</v>
      </c>
      <c r="I122" s="33">
        <v>54831.923423606902</v>
      </c>
      <c r="J122" s="16"/>
      <c r="K122" s="16"/>
      <c r="L122" s="16"/>
      <c r="M122" s="16"/>
      <c r="N122" s="16"/>
      <c r="O122" s="29"/>
    </row>
    <row r="123" spans="1:15">
      <c r="A123">
        <v>83044.17</v>
      </c>
      <c r="B123">
        <v>3694</v>
      </c>
      <c r="C123">
        <v>89.4</v>
      </c>
      <c r="D123">
        <v>1</v>
      </c>
      <c r="E123">
        <v>654317.09</v>
      </c>
      <c r="G123" s="32">
        <v>95</v>
      </c>
      <c r="H123" s="33">
        <v>772404.42313752056</v>
      </c>
      <c r="I123" s="33">
        <v>65845.896862479392</v>
      </c>
      <c r="J123" s="16"/>
      <c r="K123" s="16"/>
      <c r="L123" s="16"/>
      <c r="M123" s="16"/>
      <c r="N123" s="16"/>
      <c r="O123" s="29"/>
    </row>
    <row r="124" spans="1:15">
      <c r="A124">
        <v>48396.13</v>
      </c>
      <c r="B124">
        <v>4423</v>
      </c>
      <c r="C124">
        <v>85.7</v>
      </c>
      <c r="D124">
        <v>1</v>
      </c>
      <c r="E124">
        <v>557487.26</v>
      </c>
      <c r="G124" s="32">
        <v>96</v>
      </c>
      <c r="H124" s="33">
        <v>625726.1674783777</v>
      </c>
      <c r="I124" s="33">
        <v>-17828.047478377703</v>
      </c>
      <c r="J124" s="16"/>
      <c r="K124" s="16"/>
      <c r="L124" s="16"/>
      <c r="M124" s="16"/>
      <c r="N124" s="16"/>
      <c r="O124" s="29"/>
    </row>
    <row r="125" spans="1:15">
      <c r="A125">
        <v>19063.48</v>
      </c>
      <c r="B125">
        <v>1906</v>
      </c>
      <c r="C125">
        <v>97.8</v>
      </c>
      <c r="D125">
        <v>1</v>
      </c>
      <c r="E125">
        <v>441275.42</v>
      </c>
      <c r="G125" s="32">
        <v>97</v>
      </c>
      <c r="H125" s="33">
        <v>688718.50564166438</v>
      </c>
      <c r="I125" s="33">
        <v>2395.114358335617</v>
      </c>
      <c r="J125" s="16"/>
      <c r="K125" s="16"/>
      <c r="L125" s="16"/>
      <c r="M125" s="16"/>
      <c r="N125" s="16"/>
      <c r="O125" s="29"/>
    </row>
    <row r="126" spans="1:15">
      <c r="A126">
        <v>61541.21</v>
      </c>
      <c r="B126">
        <v>10396</v>
      </c>
      <c r="C126">
        <v>88.1</v>
      </c>
      <c r="D126">
        <v>0</v>
      </c>
      <c r="E126">
        <v>914544.17</v>
      </c>
      <c r="G126" s="32">
        <v>98</v>
      </c>
      <c r="H126" s="33">
        <v>652472.62478036422</v>
      </c>
      <c r="I126" s="33">
        <v>83036.775219635805</v>
      </c>
      <c r="J126" s="16"/>
      <c r="K126" s="16"/>
      <c r="L126" s="16"/>
      <c r="M126" s="16"/>
      <c r="N126" s="16"/>
      <c r="O126" s="29"/>
    </row>
    <row r="127" spans="1:15">
      <c r="A127">
        <v>44747</v>
      </c>
      <c r="B127">
        <v>11076</v>
      </c>
      <c r="C127">
        <v>98.3</v>
      </c>
      <c r="D127">
        <v>0</v>
      </c>
      <c r="E127">
        <v>842439.67</v>
      </c>
      <c r="G127" s="32">
        <v>99</v>
      </c>
      <c r="H127" s="33">
        <v>601964.81865860033</v>
      </c>
      <c r="I127" s="33">
        <v>3810.5113413996296</v>
      </c>
      <c r="J127" s="16"/>
      <c r="K127" s="16"/>
      <c r="L127" s="16"/>
      <c r="M127" s="16"/>
      <c r="N127" s="16"/>
      <c r="O127" s="29"/>
    </row>
    <row r="128" spans="1:15">
      <c r="A128">
        <v>56517.9</v>
      </c>
      <c r="B128">
        <v>9574</v>
      </c>
      <c r="C128">
        <v>88.2</v>
      </c>
      <c r="D128">
        <v>0</v>
      </c>
      <c r="E128">
        <v>842157.92</v>
      </c>
      <c r="G128" s="32">
        <v>100</v>
      </c>
      <c r="H128" s="33">
        <v>644156.88279014721</v>
      </c>
      <c r="I128" s="33">
        <v>31020.797209852841</v>
      </c>
      <c r="J128" s="16"/>
      <c r="K128" s="16"/>
      <c r="L128" s="16"/>
      <c r="M128" s="16"/>
      <c r="N128" s="16"/>
      <c r="O128" s="29"/>
    </row>
    <row r="129" spans="1:15">
      <c r="A129">
        <v>37828.5</v>
      </c>
      <c r="B129">
        <v>8221</v>
      </c>
      <c r="C129">
        <v>81.5</v>
      </c>
      <c r="D129">
        <v>0</v>
      </c>
      <c r="E129">
        <v>697155.3</v>
      </c>
      <c r="G129" s="32">
        <v>101</v>
      </c>
      <c r="H129" s="33">
        <v>587783.21136317751</v>
      </c>
      <c r="I129" s="33">
        <v>47398.138636822463</v>
      </c>
      <c r="J129" s="16"/>
      <c r="K129" s="16"/>
      <c r="L129" s="16"/>
      <c r="M129" s="16"/>
      <c r="N129" s="16"/>
      <c r="O129" s="29"/>
    </row>
    <row r="130" spans="1:15">
      <c r="A130">
        <v>66250.53</v>
      </c>
      <c r="B130">
        <v>10618</v>
      </c>
      <c r="C130">
        <v>88.3</v>
      </c>
      <c r="D130">
        <v>0</v>
      </c>
      <c r="E130">
        <v>849018.3</v>
      </c>
      <c r="G130" s="32">
        <v>102</v>
      </c>
      <c r="H130" s="33">
        <v>621251.87240090687</v>
      </c>
      <c r="I130" s="33">
        <v>-34624.932400906924</v>
      </c>
      <c r="J130" s="16"/>
      <c r="K130" s="16"/>
      <c r="L130" s="16"/>
      <c r="M130" s="16"/>
      <c r="N130" s="16"/>
      <c r="O130" s="29"/>
    </row>
    <row r="131" spans="1:15">
      <c r="A131">
        <v>68410.929999999993</v>
      </c>
      <c r="B131">
        <v>10596</v>
      </c>
      <c r="C131">
        <v>81.2</v>
      </c>
      <c r="D131">
        <v>0</v>
      </c>
      <c r="E131">
        <v>801830.35</v>
      </c>
      <c r="G131" s="32">
        <v>103</v>
      </c>
      <c r="H131" s="33">
        <v>706823.05879219598</v>
      </c>
      <c r="I131" s="33">
        <v>33279.581207804033</v>
      </c>
      <c r="J131" s="16"/>
      <c r="K131" s="16"/>
      <c r="L131" s="16"/>
      <c r="M131" s="16"/>
      <c r="N131" s="16"/>
      <c r="O131" s="29"/>
    </row>
    <row r="132" spans="1:15">
      <c r="A132">
        <v>50735.63</v>
      </c>
      <c r="B132">
        <v>9619</v>
      </c>
      <c r="C132">
        <v>93.8</v>
      </c>
      <c r="D132">
        <v>0</v>
      </c>
      <c r="E132">
        <v>725235.28</v>
      </c>
      <c r="G132" s="32">
        <v>104</v>
      </c>
      <c r="H132" s="33">
        <v>523997.72462739371</v>
      </c>
      <c r="I132" s="33">
        <v>101516.31537260633</v>
      </c>
      <c r="J132" s="16"/>
      <c r="K132" s="16"/>
      <c r="L132" s="16"/>
      <c r="M132" s="16"/>
      <c r="N132" s="16"/>
      <c r="O132" s="29"/>
    </row>
    <row r="133" spans="1:15">
      <c r="A133">
        <v>66455.8</v>
      </c>
      <c r="B133">
        <v>10836</v>
      </c>
      <c r="C133">
        <v>85</v>
      </c>
      <c r="D133">
        <v>0</v>
      </c>
      <c r="E133">
        <v>811452.72</v>
      </c>
      <c r="G133" s="32">
        <v>105</v>
      </c>
      <c r="H133" s="33">
        <v>692482.79030149151</v>
      </c>
      <c r="I133" s="33">
        <v>34744.409698508447</v>
      </c>
      <c r="J133" s="16"/>
      <c r="K133" s="16"/>
      <c r="L133" s="16"/>
      <c r="M133" s="16"/>
      <c r="N133" s="16"/>
      <c r="O133" s="29"/>
    </row>
    <row r="134" spans="1:15">
      <c r="A134">
        <v>70276.28</v>
      </c>
      <c r="B134">
        <v>3043</v>
      </c>
      <c r="C134">
        <v>87.9</v>
      </c>
      <c r="D134">
        <v>1</v>
      </c>
      <c r="E134">
        <v>527300.13</v>
      </c>
      <c r="G134" s="32">
        <v>106</v>
      </c>
      <c r="H134" s="33">
        <v>785934.82759545208</v>
      </c>
      <c r="I134" s="33">
        <v>-2136.9375954520656</v>
      </c>
      <c r="J134" s="16"/>
      <c r="K134" s="16"/>
      <c r="L134" s="16"/>
      <c r="M134" s="16"/>
      <c r="N134" s="16"/>
      <c r="O134" s="29"/>
    </row>
    <row r="135" spans="1:15">
      <c r="A135">
        <v>22071.64</v>
      </c>
      <c r="B135">
        <v>1814</v>
      </c>
      <c r="C135">
        <v>81.099999999999994</v>
      </c>
      <c r="D135">
        <v>1</v>
      </c>
      <c r="E135">
        <v>400831.65</v>
      </c>
      <c r="G135" s="32">
        <v>107</v>
      </c>
      <c r="H135" s="33">
        <v>721634.76942324289</v>
      </c>
      <c r="I135" s="33">
        <v>73519.070576757076</v>
      </c>
      <c r="J135" s="16"/>
      <c r="K135" s="16"/>
      <c r="L135" s="16"/>
      <c r="M135" s="16"/>
      <c r="N135" s="16"/>
      <c r="O135" s="29"/>
    </row>
    <row r="136" spans="1:15">
      <c r="A136">
        <v>52285.45</v>
      </c>
      <c r="B136">
        <v>3618</v>
      </c>
      <c r="C136">
        <v>95.6</v>
      </c>
      <c r="D136">
        <v>1</v>
      </c>
      <c r="E136">
        <v>593247.25</v>
      </c>
      <c r="G136" s="32">
        <v>108</v>
      </c>
      <c r="H136" s="33">
        <v>665614.26106204139</v>
      </c>
      <c r="I136" s="33">
        <v>-19.321062041446567</v>
      </c>
      <c r="J136" s="16"/>
      <c r="K136" s="16"/>
      <c r="L136" s="16"/>
      <c r="M136" s="16"/>
      <c r="N136" s="16"/>
      <c r="O136" s="29"/>
    </row>
    <row r="137" spans="1:15">
      <c r="A137">
        <v>70366.759999999995</v>
      </c>
      <c r="B137">
        <v>1963</v>
      </c>
      <c r="C137">
        <v>89.8</v>
      </c>
      <c r="D137">
        <v>1</v>
      </c>
      <c r="E137">
        <v>529075.94999999995</v>
      </c>
      <c r="G137" s="32">
        <v>109</v>
      </c>
      <c r="H137" s="33">
        <v>674604.66054725554</v>
      </c>
      <c r="I137" s="33">
        <v>34873.729452744476</v>
      </c>
      <c r="J137" s="16"/>
      <c r="K137" s="16"/>
      <c r="L137" s="16"/>
      <c r="M137" s="16"/>
      <c r="N137" s="16"/>
      <c r="O137" s="29"/>
    </row>
    <row r="138" spans="1:15">
      <c r="A138">
        <v>71320.66</v>
      </c>
      <c r="B138">
        <v>7888</v>
      </c>
      <c r="C138">
        <v>78.099999999999994</v>
      </c>
      <c r="D138">
        <v>0</v>
      </c>
      <c r="E138">
        <v>633638.03</v>
      </c>
      <c r="G138" s="32">
        <v>110</v>
      </c>
      <c r="H138" s="33">
        <v>654972.0779948642</v>
      </c>
      <c r="I138" s="33">
        <v>9190.4120051357895</v>
      </c>
      <c r="J138" s="16"/>
      <c r="K138" s="16"/>
      <c r="L138" s="16"/>
      <c r="M138" s="16"/>
      <c r="N138" s="16"/>
      <c r="O138" s="29"/>
    </row>
    <row r="139" spans="1:15">
      <c r="A139">
        <v>75109.67</v>
      </c>
      <c r="B139">
        <v>6244</v>
      </c>
      <c r="C139">
        <v>96.3</v>
      </c>
      <c r="D139">
        <v>0</v>
      </c>
      <c r="E139">
        <v>743348.84</v>
      </c>
      <c r="G139" s="32">
        <v>111</v>
      </c>
      <c r="H139" s="33">
        <v>649813.09554242517</v>
      </c>
      <c r="I139" s="33">
        <v>-16318.885542425211</v>
      </c>
      <c r="J139" s="16"/>
      <c r="K139" s="16"/>
      <c r="L139" s="16"/>
      <c r="M139" s="16"/>
      <c r="N139" s="16"/>
      <c r="O139" s="29"/>
    </row>
    <row r="140" spans="1:15">
      <c r="A140">
        <v>69779</v>
      </c>
      <c r="B140">
        <v>6544</v>
      </c>
      <c r="C140">
        <v>90.2</v>
      </c>
      <c r="D140">
        <v>0</v>
      </c>
      <c r="E140">
        <v>758827.64</v>
      </c>
      <c r="G140" s="32">
        <v>112</v>
      </c>
      <c r="H140" s="33">
        <v>602447.47549050825</v>
      </c>
      <c r="I140" s="33">
        <v>111163.68450949178</v>
      </c>
      <c r="J140" s="16"/>
      <c r="K140" s="16"/>
      <c r="L140" s="16"/>
      <c r="M140" s="16"/>
      <c r="N140" s="16"/>
      <c r="O140" s="29"/>
    </row>
    <row r="141" spans="1:15">
      <c r="A141">
        <v>44211.95</v>
      </c>
      <c r="B141">
        <v>5465</v>
      </c>
      <c r="C141">
        <v>90</v>
      </c>
      <c r="D141">
        <v>0</v>
      </c>
      <c r="E141">
        <v>646559.71</v>
      </c>
      <c r="G141" s="32">
        <v>113</v>
      </c>
      <c r="H141" s="33">
        <v>732943.7054749711</v>
      </c>
      <c r="I141" s="33">
        <v>45454.264525028877</v>
      </c>
      <c r="J141" s="16"/>
      <c r="K141" s="16"/>
      <c r="L141" s="16"/>
      <c r="M141" s="16"/>
      <c r="N141" s="16"/>
      <c r="O141" s="29"/>
    </row>
    <row r="142" spans="1:15">
      <c r="A142">
        <v>51430.31</v>
      </c>
      <c r="B142">
        <v>6427</v>
      </c>
      <c r="C142">
        <v>88.8</v>
      </c>
      <c r="D142">
        <v>0</v>
      </c>
      <c r="E142">
        <v>715890.53</v>
      </c>
      <c r="G142" s="32">
        <v>114</v>
      </c>
      <c r="H142" s="33">
        <v>824960.29515464348</v>
      </c>
      <c r="I142" s="33">
        <v>48419.724845356541</v>
      </c>
      <c r="J142" s="16"/>
      <c r="K142" s="16"/>
      <c r="L142" s="16"/>
      <c r="M142" s="16"/>
      <c r="N142" s="16"/>
      <c r="O142" s="29"/>
    </row>
    <row r="143" spans="1:15">
      <c r="A143">
        <v>45706.49</v>
      </c>
      <c r="B143">
        <v>6704</v>
      </c>
      <c r="C143">
        <v>94.2</v>
      </c>
      <c r="D143">
        <v>0</v>
      </c>
      <c r="E143">
        <v>715097.57</v>
      </c>
      <c r="G143" s="32">
        <v>115</v>
      </c>
      <c r="H143" s="33">
        <v>744019.19872978318</v>
      </c>
      <c r="I143" s="33">
        <v>-46731.298729783157</v>
      </c>
      <c r="J143" s="16"/>
      <c r="K143" s="16"/>
      <c r="L143" s="16"/>
      <c r="M143" s="16"/>
      <c r="N143" s="16"/>
      <c r="O143" s="29"/>
    </row>
    <row r="144" spans="1:15">
      <c r="A144">
        <v>44034.6</v>
      </c>
      <c r="B144">
        <v>5645</v>
      </c>
      <c r="C144">
        <v>88.5</v>
      </c>
      <c r="D144">
        <v>0</v>
      </c>
      <c r="E144">
        <v>682639.28</v>
      </c>
      <c r="G144" s="32">
        <v>116</v>
      </c>
      <c r="H144" s="33">
        <v>747857.37114949105</v>
      </c>
      <c r="I144" s="33">
        <v>-29782.581149491016</v>
      </c>
      <c r="J144" s="16"/>
      <c r="K144" s="16"/>
      <c r="L144" s="16"/>
      <c r="M144" s="16"/>
      <c r="N144" s="16"/>
      <c r="O144" s="29"/>
    </row>
    <row r="145" spans="1:15">
      <c r="A145">
        <v>50198.12</v>
      </c>
      <c r="B145">
        <v>6089</v>
      </c>
      <c r="C145">
        <v>94</v>
      </c>
      <c r="D145">
        <v>0</v>
      </c>
      <c r="E145">
        <v>695098.51</v>
      </c>
      <c r="G145" s="32">
        <v>117</v>
      </c>
      <c r="H145" s="33">
        <v>716223.4566440885</v>
      </c>
      <c r="I145" s="33">
        <v>-1281.0266440884443</v>
      </c>
      <c r="J145" s="16"/>
      <c r="K145" s="16"/>
      <c r="L145" s="16"/>
      <c r="M145" s="16"/>
      <c r="N145" s="16"/>
      <c r="O145" s="29"/>
    </row>
    <row r="146" spans="1:15">
      <c r="A146">
        <v>70488.2</v>
      </c>
      <c r="B146">
        <v>4312</v>
      </c>
      <c r="C146">
        <v>90.2</v>
      </c>
      <c r="D146">
        <v>1</v>
      </c>
      <c r="E146">
        <v>577732.56999999995</v>
      </c>
      <c r="G146" s="32">
        <v>118</v>
      </c>
      <c r="H146" s="33">
        <v>732769.99367993185</v>
      </c>
      <c r="I146" s="33">
        <v>87749.046320068184</v>
      </c>
      <c r="J146" s="16"/>
      <c r="K146" s="16"/>
      <c r="L146" s="16"/>
      <c r="M146" s="16"/>
      <c r="N146" s="16"/>
      <c r="O146" s="29"/>
    </row>
    <row r="147" spans="1:15">
      <c r="A147">
        <v>50909.27</v>
      </c>
      <c r="B147">
        <v>3152</v>
      </c>
      <c r="C147">
        <v>93.7</v>
      </c>
      <c r="D147">
        <v>1</v>
      </c>
      <c r="E147">
        <v>537058.32999999996</v>
      </c>
      <c r="G147" s="32">
        <v>119</v>
      </c>
      <c r="H147" s="33">
        <v>754951.43159613747</v>
      </c>
      <c r="I147" s="33">
        <v>-70734.111596137518</v>
      </c>
      <c r="J147" s="16"/>
      <c r="K147" s="16"/>
      <c r="L147" s="16"/>
      <c r="M147" s="16"/>
      <c r="N147" s="16"/>
      <c r="O147" s="29"/>
    </row>
    <row r="148" spans="1:15">
      <c r="A148">
        <v>53351.7</v>
      </c>
      <c r="B148">
        <v>4259</v>
      </c>
      <c r="C148">
        <v>93.7</v>
      </c>
      <c r="D148">
        <v>1</v>
      </c>
      <c r="E148">
        <v>601568.87</v>
      </c>
      <c r="G148" s="32">
        <v>120</v>
      </c>
      <c r="H148" s="33">
        <v>743077.88322255993</v>
      </c>
      <c r="I148" s="33">
        <v>-7597.6932225599885</v>
      </c>
      <c r="J148" s="16"/>
      <c r="K148" s="16"/>
      <c r="L148" s="16"/>
      <c r="M148" s="16"/>
      <c r="N148" s="16"/>
      <c r="O148" s="29"/>
    </row>
    <row r="149" spans="1:15">
      <c r="A149">
        <v>60322.400000000001</v>
      </c>
      <c r="B149">
        <v>3350</v>
      </c>
      <c r="C149">
        <v>89.4</v>
      </c>
      <c r="D149">
        <v>1</v>
      </c>
      <c r="E149">
        <v>570964.84</v>
      </c>
      <c r="G149" s="32">
        <v>121</v>
      </c>
      <c r="H149" s="33">
        <v>558480.13398862176</v>
      </c>
      <c r="I149" s="33">
        <v>-48995.323988621763</v>
      </c>
      <c r="J149" s="16"/>
      <c r="K149" s="16"/>
      <c r="L149" s="16"/>
      <c r="M149" s="16"/>
      <c r="N149" s="16"/>
      <c r="O149" s="29"/>
    </row>
    <row r="150" spans="1:15">
      <c r="A150">
        <v>51575.68</v>
      </c>
      <c r="B150">
        <v>5329</v>
      </c>
      <c r="C150">
        <v>88.1</v>
      </c>
      <c r="D150">
        <v>0</v>
      </c>
      <c r="E150">
        <v>614024.91</v>
      </c>
      <c r="G150" s="32">
        <v>122</v>
      </c>
      <c r="H150" s="33">
        <v>617910.0056960088</v>
      </c>
      <c r="I150" s="33">
        <v>36407.084303991171</v>
      </c>
      <c r="J150" s="16"/>
      <c r="K150" s="16"/>
      <c r="L150" s="16"/>
      <c r="M150" s="16"/>
      <c r="N150" s="16"/>
      <c r="O150" s="29"/>
    </row>
    <row r="151" spans="1:15">
      <c r="A151">
        <v>43319.94</v>
      </c>
      <c r="B151">
        <v>6551</v>
      </c>
      <c r="C151">
        <v>99</v>
      </c>
      <c r="D151">
        <v>0</v>
      </c>
      <c r="E151">
        <v>712868.35</v>
      </c>
      <c r="G151" s="32">
        <v>123</v>
      </c>
      <c r="H151" s="33">
        <v>590858.31493131048</v>
      </c>
      <c r="I151" s="33">
        <v>-33371.054931310471</v>
      </c>
      <c r="J151" s="16"/>
      <c r="K151" s="16"/>
      <c r="L151" s="16"/>
      <c r="M151" s="16"/>
      <c r="N151" s="16"/>
      <c r="O151" s="29"/>
    </row>
    <row r="152" spans="1:15">
      <c r="A152">
        <v>47093.55</v>
      </c>
      <c r="B152">
        <v>5550</v>
      </c>
      <c r="C152">
        <v>95</v>
      </c>
      <c r="D152">
        <v>0</v>
      </c>
      <c r="E152">
        <v>696744.15</v>
      </c>
      <c r="G152" s="32">
        <v>124</v>
      </c>
      <c r="H152" s="33">
        <v>507003.60673605732</v>
      </c>
      <c r="I152" s="33">
        <v>-65728.186736057338</v>
      </c>
      <c r="J152" s="16"/>
      <c r="K152" s="16"/>
      <c r="L152" s="16"/>
      <c r="M152" s="16"/>
      <c r="N152" s="16"/>
      <c r="O152" s="29"/>
    </row>
    <row r="153" spans="1:15">
      <c r="A153">
        <v>71855.09</v>
      </c>
      <c r="B153">
        <v>5911</v>
      </c>
      <c r="C153">
        <v>94.3</v>
      </c>
      <c r="D153">
        <v>0</v>
      </c>
      <c r="E153">
        <v>725847.99</v>
      </c>
      <c r="G153" s="32">
        <v>125</v>
      </c>
      <c r="H153" s="33">
        <v>815431.39351449977</v>
      </c>
      <c r="I153" s="33">
        <v>99112.776485500275</v>
      </c>
      <c r="J153" s="16"/>
      <c r="K153" s="16"/>
      <c r="L153" s="16"/>
      <c r="M153" s="16"/>
      <c r="N153" s="16"/>
      <c r="O153" s="29"/>
    </row>
    <row r="154" spans="1:15">
      <c r="A154">
        <v>75645.23</v>
      </c>
      <c r="B154">
        <v>9674</v>
      </c>
      <c r="C154">
        <v>87.4</v>
      </c>
      <c r="D154">
        <v>0</v>
      </c>
      <c r="E154">
        <v>785028.25</v>
      </c>
      <c r="G154" s="32">
        <v>126</v>
      </c>
      <c r="H154" s="33">
        <v>848389.20665372699</v>
      </c>
      <c r="I154" s="33">
        <v>-5949.5366537269438</v>
      </c>
      <c r="J154" s="16"/>
      <c r="K154" s="16"/>
      <c r="L154" s="16"/>
      <c r="M154" s="16"/>
      <c r="N154" s="16"/>
      <c r="O154" s="29"/>
    </row>
    <row r="155" spans="1:15">
      <c r="A155">
        <v>64374.75</v>
      </c>
      <c r="B155">
        <v>6740</v>
      </c>
      <c r="C155">
        <v>87</v>
      </c>
      <c r="D155">
        <v>0</v>
      </c>
      <c r="E155">
        <v>698492.67</v>
      </c>
      <c r="G155" s="32">
        <v>127</v>
      </c>
      <c r="H155" s="33">
        <v>782143.3624032439</v>
      </c>
      <c r="I155" s="33">
        <v>60014.557596756145</v>
      </c>
      <c r="J155" s="16"/>
      <c r="K155" s="16"/>
      <c r="L155" s="16"/>
      <c r="M155" s="16"/>
      <c r="N155" s="16"/>
      <c r="O155" s="29"/>
    </row>
    <row r="156" spans="1:15">
      <c r="A156">
        <v>61433.84</v>
      </c>
      <c r="B156">
        <v>7745</v>
      </c>
      <c r="C156">
        <v>90.5</v>
      </c>
      <c r="D156">
        <v>0</v>
      </c>
      <c r="E156">
        <v>685830.24</v>
      </c>
      <c r="G156" s="32">
        <v>128</v>
      </c>
      <c r="H156" s="33">
        <v>695013.8460398505</v>
      </c>
      <c r="I156" s="33">
        <v>2141.4539601495489</v>
      </c>
      <c r="J156" s="16"/>
      <c r="K156" s="16"/>
      <c r="L156" s="16"/>
      <c r="M156" s="16"/>
      <c r="N156" s="16"/>
      <c r="O156" s="29"/>
    </row>
    <row r="157" spans="1:15">
      <c r="A157">
        <v>42698.14</v>
      </c>
      <c r="B157">
        <v>7693</v>
      </c>
      <c r="C157">
        <v>90.1</v>
      </c>
      <c r="D157">
        <v>0</v>
      </c>
      <c r="E157">
        <v>702318.94</v>
      </c>
      <c r="G157" s="32">
        <v>129</v>
      </c>
      <c r="H157" s="33">
        <v>829030.52836508036</v>
      </c>
      <c r="I157" s="33">
        <v>19987.771634919685</v>
      </c>
      <c r="J157" s="16"/>
      <c r="K157" s="16"/>
      <c r="L157" s="16"/>
      <c r="M157" s="16"/>
      <c r="N157" s="16"/>
      <c r="O157" s="29"/>
    </row>
    <row r="158" spans="1:15">
      <c r="A158">
        <v>86883.31</v>
      </c>
      <c r="B158">
        <v>6424</v>
      </c>
      <c r="C158">
        <v>85.2</v>
      </c>
      <c r="D158">
        <v>1</v>
      </c>
      <c r="E158">
        <v>700078.32</v>
      </c>
      <c r="G158" s="32">
        <v>130</v>
      </c>
      <c r="H158" s="33">
        <v>810068.2359093898</v>
      </c>
      <c r="I158" s="33">
        <v>-8237.8859093898209</v>
      </c>
      <c r="J158" s="16"/>
      <c r="K158" s="16"/>
      <c r="L158" s="16"/>
      <c r="M158" s="16"/>
      <c r="N158" s="16"/>
      <c r="O158" s="29"/>
    </row>
    <row r="159" spans="1:15">
      <c r="A159">
        <v>41863.08</v>
      </c>
      <c r="B159">
        <v>5400</v>
      </c>
      <c r="C159">
        <v>91.6</v>
      </c>
      <c r="D159">
        <v>1</v>
      </c>
      <c r="E159">
        <v>602002.31999999995</v>
      </c>
      <c r="G159" s="32">
        <v>131</v>
      </c>
      <c r="H159" s="33">
        <v>793231.29575441987</v>
      </c>
      <c r="I159" s="33">
        <v>-67996.015754419845</v>
      </c>
      <c r="J159" s="16"/>
      <c r="K159" s="16"/>
      <c r="L159" s="16"/>
      <c r="M159" s="16"/>
      <c r="N159" s="16"/>
      <c r="O159" s="29"/>
    </row>
    <row r="160" spans="1:15">
      <c r="A160">
        <v>56918.16</v>
      </c>
      <c r="B160">
        <v>7015</v>
      </c>
      <c r="C160">
        <v>74.2</v>
      </c>
      <c r="D160">
        <v>1</v>
      </c>
      <c r="E160">
        <v>724216.07</v>
      </c>
      <c r="G160" s="32">
        <v>132</v>
      </c>
      <c r="H160" s="33">
        <v>826959.41410220345</v>
      </c>
      <c r="I160" s="33">
        <v>-15506.694102203473</v>
      </c>
      <c r="J160" s="16"/>
      <c r="K160" s="16"/>
      <c r="L160" s="16"/>
      <c r="M160" s="16"/>
      <c r="N160" s="16"/>
      <c r="O160" s="29"/>
    </row>
    <row r="161" spans="1:15">
      <c r="A161">
        <v>23254.57</v>
      </c>
      <c r="B161">
        <v>3847</v>
      </c>
      <c r="C161">
        <v>93</v>
      </c>
      <c r="D161">
        <v>1</v>
      </c>
      <c r="E161">
        <v>620973.03</v>
      </c>
      <c r="G161" s="32">
        <v>133</v>
      </c>
      <c r="H161" s="33">
        <v>576585.86689136934</v>
      </c>
      <c r="I161" s="33">
        <v>-49285.736891369335</v>
      </c>
      <c r="J161" s="16"/>
      <c r="K161" s="16"/>
      <c r="L161" s="16"/>
      <c r="M161" s="16"/>
      <c r="N161" s="16"/>
      <c r="O161" s="29"/>
    </row>
    <row r="162" spans="1:15">
      <c r="A162">
        <v>41443.410000000003</v>
      </c>
      <c r="B162">
        <v>7455</v>
      </c>
      <c r="C162">
        <v>90.1</v>
      </c>
      <c r="D162">
        <v>0</v>
      </c>
      <c r="E162">
        <v>650480.06000000006</v>
      </c>
      <c r="G162" s="32">
        <v>134</v>
      </c>
      <c r="H162" s="33">
        <v>458607.480129876</v>
      </c>
      <c r="I162" s="33">
        <v>-57775.830129875976</v>
      </c>
      <c r="J162" s="16"/>
      <c r="K162" s="16"/>
      <c r="L162" s="16"/>
      <c r="M162" s="16"/>
      <c r="N162" s="16"/>
      <c r="O162" s="29"/>
    </row>
    <row r="163" spans="1:15">
      <c r="A163">
        <v>48438.85</v>
      </c>
      <c r="B163">
        <v>6992</v>
      </c>
      <c r="C163">
        <v>91</v>
      </c>
      <c r="D163">
        <v>0</v>
      </c>
      <c r="E163">
        <v>778298.88</v>
      </c>
      <c r="G163" s="32">
        <v>135</v>
      </c>
      <c r="H163" s="33">
        <v>597289.96502011502</v>
      </c>
      <c r="I163" s="33">
        <v>-4042.7150201150216</v>
      </c>
      <c r="J163" s="16"/>
      <c r="K163" s="16"/>
      <c r="L163" s="16"/>
      <c r="M163" s="16"/>
      <c r="N163" s="16"/>
      <c r="O163" s="29"/>
    </row>
    <row r="164" spans="1:15">
      <c r="A164">
        <v>57143.3</v>
      </c>
      <c r="B164">
        <v>8038</v>
      </c>
      <c r="C164">
        <v>72.599999999999994</v>
      </c>
      <c r="D164">
        <v>0</v>
      </c>
      <c r="E164">
        <v>677096.71</v>
      </c>
      <c r="G164" s="32">
        <v>136</v>
      </c>
      <c r="H164" s="33">
        <v>545894.67313088092</v>
      </c>
      <c r="I164" s="33">
        <v>-16818.723130880971</v>
      </c>
      <c r="J164" s="16"/>
      <c r="K164" s="16"/>
      <c r="L164" s="16"/>
      <c r="M164" s="16"/>
      <c r="N164" s="16"/>
      <c r="O164" s="29"/>
    </row>
    <row r="165" spans="1:15">
      <c r="A165">
        <v>66870.62</v>
      </c>
      <c r="B165">
        <v>6055</v>
      </c>
      <c r="C165">
        <v>93.8</v>
      </c>
      <c r="D165">
        <v>0</v>
      </c>
      <c r="E165">
        <v>692008.64</v>
      </c>
      <c r="G165" s="32">
        <v>137</v>
      </c>
      <c r="H165" s="33">
        <v>713271.41421478533</v>
      </c>
      <c r="I165" s="33">
        <v>-79633.384214785299</v>
      </c>
      <c r="J165" s="16"/>
      <c r="K165" s="16"/>
      <c r="L165" s="16"/>
      <c r="M165" s="16"/>
      <c r="N165" s="16"/>
      <c r="O165" s="29"/>
    </row>
    <row r="166" spans="1:15">
      <c r="A166">
        <v>72150.53</v>
      </c>
      <c r="B166">
        <v>9323</v>
      </c>
      <c r="C166">
        <v>82.9</v>
      </c>
      <c r="D166">
        <v>1</v>
      </c>
      <c r="E166">
        <v>825797.91</v>
      </c>
      <c r="G166" s="32">
        <v>138</v>
      </c>
      <c r="H166" s="33">
        <v>715616.47175423056</v>
      </c>
      <c r="I166" s="33">
        <v>27732.368245769409</v>
      </c>
      <c r="J166" s="16"/>
      <c r="K166" s="16"/>
      <c r="L166" s="16"/>
      <c r="M166" s="16"/>
      <c r="N166" s="16"/>
      <c r="O166" s="29"/>
    </row>
    <row r="167" spans="1:15">
      <c r="A167">
        <v>35303.300000000003</v>
      </c>
      <c r="B167">
        <v>8789</v>
      </c>
      <c r="C167">
        <v>86.1</v>
      </c>
      <c r="D167">
        <v>1</v>
      </c>
      <c r="E167">
        <v>706285.52</v>
      </c>
      <c r="G167" s="32">
        <v>139</v>
      </c>
      <c r="H167" s="33">
        <v>701602.90243635746</v>
      </c>
      <c r="I167" s="33">
        <v>57224.737563642557</v>
      </c>
      <c r="J167" s="16"/>
      <c r="K167" s="16"/>
      <c r="L167" s="16"/>
      <c r="M167" s="16"/>
      <c r="N167" s="16"/>
      <c r="O167" s="29"/>
    </row>
    <row r="168" spans="1:15">
      <c r="A168">
        <v>30301.86</v>
      </c>
      <c r="B168">
        <v>6939</v>
      </c>
      <c r="C168">
        <v>90.3</v>
      </c>
      <c r="D168">
        <v>1</v>
      </c>
      <c r="E168">
        <v>665534.69999999995</v>
      </c>
      <c r="G168" s="32">
        <v>140</v>
      </c>
      <c r="H168" s="33">
        <v>634612.8672124556</v>
      </c>
      <c r="I168" s="33">
        <v>11946.842787544359</v>
      </c>
      <c r="J168" s="16"/>
      <c r="K168" s="16"/>
      <c r="L168" s="16"/>
      <c r="M168" s="16"/>
      <c r="N168" s="16"/>
      <c r="O168" s="29"/>
    </row>
    <row r="169" spans="1:15">
      <c r="A169">
        <v>78432.14</v>
      </c>
      <c r="B169">
        <v>9440</v>
      </c>
      <c r="C169">
        <v>89.2</v>
      </c>
      <c r="D169">
        <v>1</v>
      </c>
      <c r="E169">
        <v>820729.29</v>
      </c>
      <c r="G169" s="32">
        <v>141</v>
      </c>
      <c r="H169" s="33">
        <v>671979.44357018569</v>
      </c>
      <c r="I169" s="33">
        <v>43911.086429814342</v>
      </c>
      <c r="J169" s="16"/>
      <c r="K169" s="16"/>
      <c r="L169" s="16"/>
      <c r="M169" s="16"/>
      <c r="N169" s="16"/>
      <c r="O169" s="29"/>
    </row>
    <row r="170" spans="1:15">
      <c r="A170">
        <v>62059.18</v>
      </c>
      <c r="B170">
        <v>9374</v>
      </c>
      <c r="C170">
        <v>87.1</v>
      </c>
      <c r="D170">
        <v>0</v>
      </c>
      <c r="E170">
        <v>739831.73</v>
      </c>
      <c r="G170" s="32">
        <v>142</v>
      </c>
      <c r="H170" s="33">
        <v>690360.67563719954</v>
      </c>
      <c r="I170" s="33">
        <v>24736.894362800405</v>
      </c>
      <c r="J170" s="16"/>
      <c r="K170" s="16"/>
      <c r="L170" s="16"/>
      <c r="M170" s="16"/>
      <c r="N170" s="16"/>
      <c r="O170" s="29"/>
    </row>
    <row r="171" spans="1:15">
      <c r="A171">
        <v>32834.480000000003</v>
      </c>
      <c r="B171">
        <v>7576</v>
      </c>
      <c r="C171">
        <v>84.1</v>
      </c>
      <c r="D171">
        <v>0</v>
      </c>
      <c r="E171">
        <v>593637.14</v>
      </c>
      <c r="G171" s="32">
        <v>143</v>
      </c>
      <c r="H171" s="33">
        <v>636076.47812589468</v>
      </c>
      <c r="I171" s="33">
        <v>46562.801874105353</v>
      </c>
      <c r="J171" s="16"/>
      <c r="K171" s="16"/>
      <c r="L171" s="16"/>
      <c r="M171" s="16"/>
      <c r="N171" s="16"/>
      <c r="O171" s="29"/>
    </row>
    <row r="172" spans="1:15">
      <c r="A172">
        <v>50825.08</v>
      </c>
      <c r="B172">
        <v>8949</v>
      </c>
      <c r="C172">
        <v>84.7</v>
      </c>
      <c r="D172">
        <v>0</v>
      </c>
      <c r="E172">
        <v>769702.76</v>
      </c>
      <c r="G172" s="32">
        <v>144</v>
      </c>
      <c r="H172" s="33">
        <v>674359.36206035176</v>
      </c>
      <c r="I172" s="33">
        <v>20739.147939648246</v>
      </c>
      <c r="J172" s="16"/>
      <c r="K172" s="16"/>
      <c r="L172" s="16"/>
      <c r="M172" s="16"/>
      <c r="N172" s="16"/>
      <c r="O172" s="29"/>
    </row>
    <row r="173" spans="1:15">
      <c r="A173">
        <v>36606.51</v>
      </c>
      <c r="B173">
        <v>7671</v>
      </c>
      <c r="C173">
        <v>89.8</v>
      </c>
      <c r="D173">
        <v>0</v>
      </c>
      <c r="E173">
        <v>679731.57</v>
      </c>
      <c r="G173" s="32">
        <v>145</v>
      </c>
      <c r="H173" s="33">
        <v>626277.73211061081</v>
      </c>
      <c r="I173" s="33">
        <v>-48545.162110610865</v>
      </c>
      <c r="J173" s="16"/>
      <c r="K173" s="16"/>
      <c r="L173" s="16"/>
      <c r="M173" s="16"/>
      <c r="N173" s="16"/>
      <c r="O173" s="29"/>
    </row>
    <row r="174" spans="1:15">
      <c r="A174">
        <v>65237.79</v>
      </c>
      <c r="B174">
        <v>8741</v>
      </c>
      <c r="C174">
        <v>94.4</v>
      </c>
      <c r="D174">
        <v>0</v>
      </c>
      <c r="E174">
        <v>780344.18</v>
      </c>
      <c r="G174" s="32">
        <v>146</v>
      </c>
      <c r="H174" s="33">
        <v>574427.93144574936</v>
      </c>
      <c r="I174" s="33">
        <v>-37369.601445749402</v>
      </c>
      <c r="J174" s="16"/>
      <c r="K174" s="16"/>
      <c r="L174" s="16"/>
      <c r="M174" s="16"/>
      <c r="N174" s="16"/>
      <c r="O174" s="29"/>
    </row>
    <row r="175" spans="1:15">
      <c r="A175">
        <v>43645.98</v>
      </c>
      <c r="B175">
        <v>9480</v>
      </c>
      <c r="C175">
        <v>89</v>
      </c>
      <c r="D175">
        <v>0</v>
      </c>
      <c r="E175">
        <v>721364.11</v>
      </c>
      <c r="G175" s="32">
        <v>147</v>
      </c>
      <c r="H175" s="33">
        <v>614564.97121694486</v>
      </c>
      <c r="I175" s="33">
        <v>-12996.101216944866</v>
      </c>
      <c r="J175" s="16"/>
      <c r="K175" s="16"/>
      <c r="L175" s="16"/>
      <c r="M175" s="16"/>
      <c r="N175" s="16"/>
      <c r="O175" s="29"/>
    </row>
    <row r="176" spans="1:15">
      <c r="A176">
        <v>68040.149999999994</v>
      </c>
      <c r="B176">
        <v>9826</v>
      </c>
      <c r="C176">
        <v>83.9</v>
      </c>
      <c r="D176">
        <v>0</v>
      </c>
      <c r="E176">
        <v>758138.29</v>
      </c>
      <c r="G176" s="32">
        <v>148</v>
      </c>
      <c r="H176" s="33">
        <v>579593.94039470726</v>
      </c>
      <c r="I176" s="33">
        <v>-8629.1003947072895</v>
      </c>
      <c r="J176" s="16"/>
      <c r="K176" s="16"/>
      <c r="L176" s="16"/>
      <c r="M176" s="16"/>
      <c r="N176" s="16"/>
      <c r="O176" s="29"/>
    </row>
    <row r="177" spans="1:15">
      <c r="A177">
        <v>63043.94</v>
      </c>
      <c r="B177">
        <v>10402</v>
      </c>
      <c r="C177">
        <v>93.9</v>
      </c>
      <c r="D177">
        <v>0</v>
      </c>
      <c r="E177">
        <v>804264</v>
      </c>
      <c r="G177" s="32">
        <v>149</v>
      </c>
      <c r="H177" s="33">
        <v>633143.26286750264</v>
      </c>
      <c r="I177" s="33">
        <v>-19118.352867502603</v>
      </c>
      <c r="J177" s="16"/>
      <c r="K177" s="16"/>
      <c r="L177" s="16"/>
      <c r="M177" s="16"/>
      <c r="N177" s="16"/>
      <c r="O177" s="29"/>
    </row>
    <row r="178" spans="1:15">
      <c r="A178">
        <v>67494.09</v>
      </c>
      <c r="B178">
        <v>12361</v>
      </c>
      <c r="C178">
        <v>76.599999999999994</v>
      </c>
      <c r="D178">
        <v>0</v>
      </c>
      <c r="E178">
        <v>887537.75</v>
      </c>
      <c r="G178" s="32">
        <v>150</v>
      </c>
      <c r="H178" s="33">
        <v>696439.80754199903</v>
      </c>
      <c r="I178" s="33">
        <v>16428.542458000942</v>
      </c>
      <c r="J178" s="16"/>
      <c r="K178" s="16"/>
      <c r="L178" s="16"/>
      <c r="M178" s="16"/>
      <c r="N178" s="16"/>
      <c r="O178" s="29"/>
    </row>
    <row r="179" spans="1:15">
      <c r="A179">
        <v>29389.32</v>
      </c>
      <c r="B179">
        <v>7925</v>
      </c>
      <c r="C179">
        <v>90.9</v>
      </c>
      <c r="D179">
        <v>0</v>
      </c>
      <c r="E179">
        <v>783582</v>
      </c>
      <c r="G179" s="32">
        <v>151</v>
      </c>
      <c r="H179" s="33">
        <v>655487.28677381296</v>
      </c>
      <c r="I179" s="33">
        <v>41256.863226187066</v>
      </c>
      <c r="J179" s="16"/>
      <c r="K179" s="16"/>
      <c r="L179" s="16"/>
      <c r="M179" s="16"/>
      <c r="N179" s="16"/>
      <c r="O179" s="29"/>
    </row>
    <row r="180" spans="1:15">
      <c r="A180">
        <v>40535.089999999997</v>
      </c>
      <c r="B180">
        <v>8870</v>
      </c>
      <c r="C180">
        <v>86.6</v>
      </c>
      <c r="D180">
        <v>0</v>
      </c>
      <c r="E180">
        <v>781955.52</v>
      </c>
      <c r="G180" s="32">
        <v>152</v>
      </c>
      <c r="H180" s="33">
        <v>694728.63754957356</v>
      </c>
      <c r="I180" s="33">
        <v>31119.352450426435</v>
      </c>
      <c r="J180" s="16"/>
      <c r="K180" s="16"/>
      <c r="L180" s="16"/>
      <c r="M180" s="16"/>
      <c r="N180" s="16"/>
      <c r="O180" s="29"/>
    </row>
    <row r="181" spans="1:15">
      <c r="A181">
        <v>74881.56</v>
      </c>
      <c r="B181">
        <v>9999</v>
      </c>
      <c r="C181">
        <v>89.6</v>
      </c>
      <c r="D181">
        <v>0</v>
      </c>
      <c r="E181">
        <v>898031.04</v>
      </c>
      <c r="G181" s="32">
        <v>153</v>
      </c>
      <c r="H181" s="33">
        <v>805676.92404645344</v>
      </c>
      <c r="I181" s="33">
        <v>-20648.674046453438</v>
      </c>
      <c r="J181" s="16"/>
      <c r="K181" s="16"/>
      <c r="L181" s="16"/>
      <c r="M181" s="16"/>
      <c r="N181" s="16"/>
      <c r="O181" s="29"/>
    </row>
    <row r="182" spans="1:15">
      <c r="A182">
        <v>68491.11</v>
      </c>
      <c r="B182">
        <v>11154</v>
      </c>
      <c r="C182">
        <v>89.4</v>
      </c>
      <c r="D182">
        <v>0</v>
      </c>
      <c r="E182">
        <v>855341.28</v>
      </c>
      <c r="G182" s="32">
        <v>154</v>
      </c>
      <c r="H182" s="33">
        <v>692482.99733798555</v>
      </c>
      <c r="I182" s="33">
        <v>6009.6726620144909</v>
      </c>
      <c r="J182" s="16"/>
      <c r="K182" s="16"/>
      <c r="L182" s="16"/>
      <c r="M182" s="16"/>
      <c r="N182" s="16"/>
      <c r="O182" s="29"/>
    </row>
    <row r="183" spans="1:15">
      <c r="A183">
        <v>45209.25</v>
      </c>
      <c r="B183">
        <v>9287</v>
      </c>
      <c r="C183">
        <v>86.4</v>
      </c>
      <c r="D183">
        <v>0</v>
      </c>
      <c r="E183">
        <v>751393.88</v>
      </c>
      <c r="G183" s="32">
        <v>155</v>
      </c>
      <c r="H183" s="33">
        <v>733087.75206917874</v>
      </c>
      <c r="I183" s="33">
        <v>-47257.512069178745</v>
      </c>
      <c r="J183" s="16"/>
      <c r="K183" s="16"/>
      <c r="L183" s="16"/>
      <c r="M183" s="16"/>
      <c r="N183" s="16"/>
      <c r="O183" s="29"/>
    </row>
    <row r="184" spans="1:15">
      <c r="A184">
        <v>63010.23</v>
      </c>
      <c r="B184">
        <v>9812</v>
      </c>
      <c r="C184">
        <v>76.8</v>
      </c>
      <c r="D184">
        <v>0</v>
      </c>
      <c r="E184">
        <v>761077.08</v>
      </c>
      <c r="G184" s="32">
        <v>156</v>
      </c>
      <c r="H184" s="33">
        <v>708121.37380561291</v>
      </c>
      <c r="I184" s="33">
        <v>-5802.4338056129636</v>
      </c>
      <c r="J184" s="16"/>
      <c r="K184" s="16"/>
      <c r="L184" s="16"/>
      <c r="M184" s="16"/>
      <c r="N184" s="16"/>
      <c r="O184" s="29"/>
    </row>
    <row r="185" spans="1:15">
      <c r="A185">
        <v>57948.88</v>
      </c>
      <c r="B185">
        <v>10741</v>
      </c>
      <c r="C185">
        <v>90.1</v>
      </c>
      <c r="D185">
        <v>0</v>
      </c>
      <c r="E185">
        <v>819660.59</v>
      </c>
      <c r="G185" s="32">
        <v>157</v>
      </c>
      <c r="H185" s="33">
        <v>702039.96122290997</v>
      </c>
      <c r="I185" s="33">
        <v>-1961.6412229100242</v>
      </c>
      <c r="J185" s="16"/>
      <c r="K185" s="16"/>
      <c r="L185" s="16"/>
      <c r="M185" s="16"/>
      <c r="N185" s="16"/>
      <c r="O185" s="29"/>
    </row>
    <row r="186" spans="1:15">
      <c r="A186">
        <v>71941.62</v>
      </c>
      <c r="B186">
        <v>6084</v>
      </c>
      <c r="C186">
        <v>93.7</v>
      </c>
      <c r="D186">
        <v>1</v>
      </c>
      <c r="E186">
        <v>681855.56</v>
      </c>
      <c r="G186" s="32">
        <v>158</v>
      </c>
      <c r="H186" s="33">
        <v>633312.47678155347</v>
      </c>
      <c r="I186" s="33">
        <v>-31310.156781553524</v>
      </c>
      <c r="J186" s="16"/>
      <c r="K186" s="16"/>
      <c r="L186" s="16"/>
      <c r="M186" s="16"/>
      <c r="N186" s="16"/>
      <c r="O186" s="29"/>
    </row>
    <row r="187" spans="1:15">
      <c r="A187">
        <v>57147.88</v>
      </c>
      <c r="B187">
        <v>5252</v>
      </c>
      <c r="C187">
        <v>95.5</v>
      </c>
      <c r="D187">
        <v>1</v>
      </c>
      <c r="E187">
        <v>678311.17</v>
      </c>
      <c r="G187" s="32">
        <v>159</v>
      </c>
      <c r="H187" s="33">
        <v>654504.57087216841</v>
      </c>
      <c r="I187" s="33">
        <v>69711.499127831543</v>
      </c>
      <c r="J187" s="16"/>
      <c r="K187" s="16"/>
      <c r="L187" s="16"/>
      <c r="M187" s="16"/>
      <c r="N187" s="16"/>
      <c r="O187" s="29"/>
    </row>
    <row r="188" spans="1:15">
      <c r="A188">
        <v>48031.74</v>
      </c>
      <c r="B188">
        <v>6516</v>
      </c>
      <c r="C188">
        <v>99</v>
      </c>
      <c r="D188">
        <v>1</v>
      </c>
      <c r="E188">
        <v>765906.95</v>
      </c>
      <c r="G188" s="32">
        <v>160</v>
      </c>
      <c r="H188" s="33">
        <v>563234.25003784394</v>
      </c>
      <c r="I188" s="33">
        <v>57738.779962156084</v>
      </c>
      <c r="J188" s="16"/>
      <c r="K188" s="16"/>
      <c r="L188" s="16"/>
      <c r="M188" s="16"/>
      <c r="N188" s="16"/>
      <c r="O188" s="29"/>
    </row>
    <row r="189" spans="1:15">
      <c r="A189">
        <v>72784.800000000003</v>
      </c>
      <c r="B189">
        <v>7932</v>
      </c>
      <c r="C189">
        <v>74.900000000000006</v>
      </c>
      <c r="D189">
        <v>1</v>
      </c>
      <c r="E189">
        <v>712546.38</v>
      </c>
      <c r="G189" s="32">
        <v>161</v>
      </c>
      <c r="H189" s="33">
        <v>698633.55335546215</v>
      </c>
      <c r="I189" s="33">
        <v>-48153.493355462095</v>
      </c>
      <c r="J189" s="16"/>
      <c r="K189" s="16"/>
      <c r="L189" s="16"/>
      <c r="M189" s="16"/>
      <c r="N189" s="16"/>
      <c r="O189" s="29"/>
    </row>
    <row r="190" spans="1:15">
      <c r="A190">
        <v>71641.899999999994</v>
      </c>
      <c r="B190">
        <v>3506</v>
      </c>
      <c r="C190">
        <v>86.4</v>
      </c>
      <c r="D190">
        <v>0</v>
      </c>
      <c r="E190">
        <v>625993.82999999996</v>
      </c>
      <c r="G190" s="32">
        <v>162</v>
      </c>
      <c r="H190" s="33">
        <v>693911.91342920694</v>
      </c>
      <c r="I190" s="33">
        <v>84386.966570793069</v>
      </c>
      <c r="J190" s="16"/>
      <c r="K190" s="16"/>
      <c r="L190" s="16"/>
      <c r="M190" s="16"/>
      <c r="N190" s="16"/>
      <c r="O190" s="29"/>
    </row>
    <row r="191" spans="1:15">
      <c r="A191">
        <v>55788.61</v>
      </c>
      <c r="B191">
        <v>2312</v>
      </c>
      <c r="C191">
        <v>91.3</v>
      </c>
      <c r="D191">
        <v>0</v>
      </c>
      <c r="E191">
        <v>550962.93000000005</v>
      </c>
      <c r="G191" s="32">
        <v>163</v>
      </c>
      <c r="H191" s="33">
        <v>685553.49371868267</v>
      </c>
      <c r="I191" s="33">
        <v>-8456.7837186827092</v>
      </c>
      <c r="J191" s="16"/>
      <c r="K191" s="16"/>
      <c r="L191" s="16"/>
      <c r="M191" s="16"/>
      <c r="N191" s="16"/>
      <c r="O191" s="29"/>
    </row>
    <row r="192" spans="1:15">
      <c r="A192">
        <v>37705.879999999997</v>
      </c>
      <c r="B192">
        <v>1268</v>
      </c>
      <c r="C192">
        <v>84.1</v>
      </c>
      <c r="D192">
        <v>0</v>
      </c>
      <c r="E192">
        <v>443275.59</v>
      </c>
      <c r="G192" s="32">
        <v>164</v>
      </c>
      <c r="H192" s="33">
        <v>692248.41976688826</v>
      </c>
      <c r="I192" s="33">
        <v>-239.77976688824128</v>
      </c>
      <c r="J192" s="16"/>
      <c r="K192" s="16"/>
      <c r="L192" s="16"/>
      <c r="M192" s="16"/>
      <c r="N192" s="16"/>
      <c r="O192" s="29"/>
    </row>
    <row r="193" spans="1:15">
      <c r="A193">
        <v>54966.18</v>
      </c>
      <c r="B193">
        <v>4423</v>
      </c>
      <c r="C193">
        <v>88.7</v>
      </c>
      <c r="D193">
        <v>0</v>
      </c>
      <c r="E193">
        <v>554012.06999999995</v>
      </c>
      <c r="G193" s="32">
        <v>165</v>
      </c>
      <c r="H193" s="33">
        <v>775561.72784622002</v>
      </c>
      <c r="I193" s="33">
        <v>50236.182153780013</v>
      </c>
      <c r="J193" s="16"/>
      <c r="K193" s="16"/>
      <c r="L193" s="16"/>
      <c r="M193" s="16"/>
      <c r="N193" s="16"/>
      <c r="O193" s="29"/>
    </row>
    <row r="194" spans="1:15">
      <c r="A194">
        <v>81796.740000000005</v>
      </c>
      <c r="B194">
        <v>6177</v>
      </c>
      <c r="C194">
        <v>87.9</v>
      </c>
      <c r="D194">
        <v>0</v>
      </c>
      <c r="E194">
        <v>643428.85</v>
      </c>
      <c r="G194" s="32">
        <v>166</v>
      </c>
      <c r="H194" s="33">
        <v>723587.03263827297</v>
      </c>
      <c r="I194" s="33">
        <v>-17301.51263827295</v>
      </c>
      <c r="J194" s="16"/>
      <c r="K194" s="16"/>
      <c r="L194" s="16"/>
      <c r="M194" s="16"/>
      <c r="N194" s="16"/>
      <c r="O194" s="29"/>
    </row>
    <row r="195" spans="1:15">
      <c r="A195">
        <v>51133.43</v>
      </c>
      <c r="B195">
        <v>5150</v>
      </c>
      <c r="C195">
        <v>88.5</v>
      </c>
      <c r="D195">
        <v>0</v>
      </c>
      <c r="E195">
        <v>611924.27</v>
      </c>
      <c r="G195" s="32">
        <v>167</v>
      </c>
      <c r="H195" s="33">
        <v>667711.33847817581</v>
      </c>
      <c r="I195" s="33">
        <v>-2176.6384781758534</v>
      </c>
      <c r="J195" s="16"/>
      <c r="K195" s="16"/>
      <c r="L195" s="16"/>
      <c r="M195" s="16"/>
      <c r="N195" s="16"/>
      <c r="O195" s="29"/>
    </row>
    <row r="196" spans="1:15">
      <c r="A196">
        <v>40220.18</v>
      </c>
      <c r="B196">
        <v>3783</v>
      </c>
      <c r="C196">
        <v>86.6</v>
      </c>
      <c r="D196">
        <v>0</v>
      </c>
      <c r="E196">
        <v>559422.02</v>
      </c>
      <c r="G196" s="32">
        <v>168</v>
      </c>
      <c r="H196" s="33">
        <v>805315.91801762232</v>
      </c>
      <c r="I196" s="33">
        <v>15413.371982377721</v>
      </c>
      <c r="J196" s="16"/>
      <c r="K196" s="16"/>
      <c r="L196" s="16"/>
      <c r="M196" s="16"/>
      <c r="N196" s="16"/>
      <c r="O196" s="29"/>
    </row>
    <row r="197" spans="1:15">
      <c r="A197">
        <v>41657.64</v>
      </c>
      <c r="B197">
        <v>3135</v>
      </c>
      <c r="C197">
        <v>85.4</v>
      </c>
      <c r="D197">
        <v>0</v>
      </c>
      <c r="E197">
        <v>449465.06</v>
      </c>
      <c r="G197" s="32">
        <v>169</v>
      </c>
      <c r="H197" s="33">
        <v>778714.5602457663</v>
      </c>
      <c r="I197" s="33">
        <v>-38882.830245766323</v>
      </c>
      <c r="J197" s="16"/>
      <c r="K197" s="16"/>
      <c r="L197" s="16"/>
      <c r="M197" s="16"/>
      <c r="N197" s="16"/>
      <c r="O197" s="29"/>
    </row>
    <row r="198" spans="1:15">
      <c r="A198">
        <v>71851.45</v>
      </c>
      <c r="B198">
        <v>4970</v>
      </c>
      <c r="C198">
        <v>89.6</v>
      </c>
      <c r="D198">
        <v>1</v>
      </c>
      <c r="E198">
        <v>691447.43</v>
      </c>
      <c r="G198" s="32">
        <v>170</v>
      </c>
      <c r="H198" s="33">
        <v>675029.55185845378</v>
      </c>
      <c r="I198" s="33">
        <v>-81392.411858453765</v>
      </c>
      <c r="J198" s="16"/>
      <c r="K198" s="16"/>
      <c r="L198" s="16"/>
      <c r="M198" s="16"/>
      <c r="N198" s="16"/>
      <c r="O198" s="29"/>
    </row>
    <row r="199" spans="1:15">
      <c r="A199">
        <v>54002.83</v>
      </c>
      <c r="B199">
        <v>4366</v>
      </c>
      <c r="C199">
        <v>90.6</v>
      </c>
      <c r="D199">
        <v>1</v>
      </c>
      <c r="E199">
        <v>574066.61</v>
      </c>
      <c r="G199" s="32">
        <v>171</v>
      </c>
      <c r="H199" s="33">
        <v>744170.63432039472</v>
      </c>
      <c r="I199" s="33">
        <v>25532.125679605291</v>
      </c>
      <c r="J199" s="16"/>
      <c r="K199" s="16"/>
      <c r="L199" s="16"/>
      <c r="M199" s="16"/>
      <c r="N199" s="16"/>
      <c r="O199" s="29"/>
    </row>
    <row r="200" spans="1:15">
      <c r="A200">
        <v>54479.33</v>
      </c>
      <c r="B200">
        <v>5012</v>
      </c>
      <c r="C200">
        <v>86</v>
      </c>
      <c r="D200">
        <v>1</v>
      </c>
      <c r="E200">
        <v>578949.84</v>
      </c>
      <c r="G200" s="32">
        <v>172</v>
      </c>
      <c r="H200" s="33">
        <v>699335.49100264418</v>
      </c>
      <c r="I200" s="33">
        <v>-19603.921002644231</v>
      </c>
      <c r="J200" s="16"/>
      <c r="K200" s="16"/>
      <c r="L200" s="16"/>
      <c r="M200" s="16"/>
      <c r="N200" s="16"/>
      <c r="O200" s="29"/>
    </row>
    <row r="201" spans="1:15">
      <c r="A201">
        <v>61391.8</v>
      </c>
      <c r="B201">
        <v>5575</v>
      </c>
      <c r="C201">
        <v>90</v>
      </c>
      <c r="D201">
        <v>1</v>
      </c>
      <c r="E201">
        <v>735786.64</v>
      </c>
      <c r="G201" s="32">
        <v>173</v>
      </c>
      <c r="H201" s="33">
        <v>782495.99078086275</v>
      </c>
      <c r="I201" s="33">
        <v>-2151.8107808626955</v>
      </c>
      <c r="J201" s="16"/>
      <c r="K201" s="16"/>
      <c r="L201" s="16"/>
      <c r="M201" s="16"/>
      <c r="N201" s="16"/>
      <c r="O201" s="29"/>
    </row>
    <row r="202" spans="1:15">
      <c r="A202">
        <v>22312.93</v>
      </c>
      <c r="B202">
        <v>5955</v>
      </c>
      <c r="C202">
        <v>84.2</v>
      </c>
      <c r="D202">
        <v>0</v>
      </c>
      <c r="E202">
        <v>598904.9</v>
      </c>
      <c r="G202" s="32">
        <v>174</v>
      </c>
      <c r="H202" s="33">
        <v>766172.47515471792</v>
      </c>
      <c r="I202" s="33">
        <v>-44808.365154717932</v>
      </c>
      <c r="J202" s="16"/>
      <c r="K202" s="16"/>
      <c r="L202" s="16"/>
      <c r="M202" s="16"/>
      <c r="N202" s="16"/>
      <c r="O202" s="29"/>
    </row>
    <row r="203" spans="1:15">
      <c r="A203">
        <v>78111.97</v>
      </c>
      <c r="B203">
        <v>6389</v>
      </c>
      <c r="C203">
        <v>83.9</v>
      </c>
      <c r="D203">
        <v>0</v>
      </c>
      <c r="E203">
        <v>787715.51</v>
      </c>
      <c r="G203" s="32">
        <v>175</v>
      </c>
      <c r="H203" s="33">
        <v>791608.87084806792</v>
      </c>
      <c r="I203" s="33">
        <v>-33470.580848067882</v>
      </c>
      <c r="J203" s="16"/>
      <c r="K203" s="16"/>
      <c r="L203" s="16"/>
      <c r="M203" s="16"/>
      <c r="N203" s="16"/>
      <c r="O203" s="29"/>
    </row>
    <row r="204" spans="1:15">
      <c r="A204">
        <v>35203.230000000003</v>
      </c>
      <c r="B204">
        <v>6896</v>
      </c>
      <c r="C204">
        <v>80.8</v>
      </c>
      <c r="D204">
        <v>0</v>
      </c>
      <c r="E204">
        <v>607084.92000000004</v>
      </c>
      <c r="G204" s="32">
        <v>176</v>
      </c>
      <c r="H204" s="33">
        <v>834363.6540990395</v>
      </c>
      <c r="I204" s="33">
        <v>-30099.654099039501</v>
      </c>
      <c r="J204" s="16"/>
      <c r="K204" s="16"/>
      <c r="L204" s="16"/>
      <c r="M204" s="16"/>
      <c r="N204" s="16"/>
      <c r="O204" s="29"/>
    </row>
    <row r="205" spans="1:15">
      <c r="A205">
        <v>64104.28</v>
      </c>
      <c r="B205">
        <v>6015</v>
      </c>
      <c r="C205">
        <v>88.7</v>
      </c>
      <c r="D205">
        <v>0</v>
      </c>
      <c r="E205">
        <v>650795.49</v>
      </c>
      <c r="G205" s="32">
        <v>177</v>
      </c>
      <c r="H205" s="33">
        <v>854948.91717676993</v>
      </c>
      <c r="I205" s="33">
        <v>32588.83282323007</v>
      </c>
      <c r="J205" s="16"/>
      <c r="K205" s="16"/>
      <c r="L205" s="16"/>
      <c r="M205" s="16"/>
      <c r="N205" s="16"/>
      <c r="O205" s="29"/>
    </row>
    <row r="206" spans="1:15">
      <c r="A206">
        <v>92090.14</v>
      </c>
      <c r="B206">
        <v>9476</v>
      </c>
      <c r="C206">
        <v>94.3</v>
      </c>
      <c r="D206">
        <v>0</v>
      </c>
      <c r="E206">
        <v>825060.52</v>
      </c>
      <c r="G206" s="32">
        <v>178</v>
      </c>
      <c r="H206" s="33">
        <v>702609.96859722282</v>
      </c>
      <c r="I206" s="33">
        <v>80972.031402777182</v>
      </c>
      <c r="J206" s="16"/>
      <c r="K206" s="16"/>
      <c r="L206" s="16"/>
      <c r="M206" s="16"/>
      <c r="N206" s="16"/>
      <c r="O206" s="29"/>
    </row>
    <row r="207" spans="1:15">
      <c r="A207">
        <v>54300.87</v>
      </c>
      <c r="B207">
        <v>7875</v>
      </c>
      <c r="C207">
        <v>94.1</v>
      </c>
      <c r="D207">
        <v>0</v>
      </c>
      <c r="E207">
        <v>795464.47</v>
      </c>
      <c r="G207" s="32">
        <v>179</v>
      </c>
      <c r="H207" s="33">
        <v>734959.74764744635</v>
      </c>
      <c r="I207" s="33">
        <v>46995.772352553671</v>
      </c>
      <c r="J207" s="16"/>
      <c r="K207" s="16"/>
      <c r="L207" s="16"/>
      <c r="M207" s="16"/>
      <c r="N207" s="16"/>
      <c r="O207" s="29"/>
    </row>
    <row r="208" spans="1:15">
      <c r="A208">
        <v>37983.35</v>
      </c>
      <c r="B208">
        <v>9283</v>
      </c>
      <c r="C208">
        <v>83.2</v>
      </c>
      <c r="D208">
        <v>0</v>
      </c>
      <c r="E208">
        <v>671868.59</v>
      </c>
      <c r="G208" s="32">
        <v>180</v>
      </c>
      <c r="H208" s="33">
        <v>822152.11307893984</v>
      </c>
      <c r="I208" s="33">
        <v>75878.926921060192</v>
      </c>
      <c r="J208" s="16"/>
      <c r="K208" s="16"/>
      <c r="L208" s="16"/>
      <c r="M208" s="16"/>
      <c r="N208" s="16"/>
      <c r="O208" s="29"/>
    </row>
    <row r="209" spans="1:15">
      <c r="A209">
        <v>56413.83</v>
      </c>
      <c r="B209">
        <v>8303</v>
      </c>
      <c r="C209">
        <v>93.6</v>
      </c>
      <c r="D209">
        <v>0</v>
      </c>
      <c r="E209">
        <v>675917.63</v>
      </c>
      <c r="G209" s="32">
        <v>181</v>
      </c>
      <c r="H209" s="33">
        <v>852926.39529493044</v>
      </c>
      <c r="I209" s="33">
        <v>2414.8847050695913</v>
      </c>
      <c r="J209" s="16"/>
      <c r="K209" s="16"/>
      <c r="L209" s="16"/>
      <c r="M209" s="16"/>
      <c r="N209" s="16"/>
      <c r="O209" s="29"/>
    </row>
    <row r="210" spans="1:15">
      <c r="A210">
        <v>63457.19</v>
      </c>
      <c r="B210">
        <v>10125</v>
      </c>
      <c r="C210">
        <v>87</v>
      </c>
      <c r="D210">
        <v>0</v>
      </c>
      <c r="E210">
        <v>810446.53</v>
      </c>
      <c r="G210" s="32">
        <v>182</v>
      </c>
      <c r="H210" s="33">
        <v>753911.665298993</v>
      </c>
      <c r="I210" s="33">
        <v>-2517.7852989929961</v>
      </c>
      <c r="J210" s="16"/>
      <c r="K210" s="16"/>
      <c r="L210" s="16"/>
      <c r="M210" s="16"/>
      <c r="N210" s="16"/>
      <c r="O210" s="29"/>
    </row>
    <row r="211" spans="1:15">
      <c r="A211">
        <v>62949.7</v>
      </c>
      <c r="B211">
        <v>9458</v>
      </c>
      <c r="C211">
        <v>84.9</v>
      </c>
      <c r="D211">
        <v>0</v>
      </c>
      <c r="E211">
        <v>691288.19</v>
      </c>
      <c r="G211" s="32">
        <v>183</v>
      </c>
      <c r="H211" s="33">
        <v>764455.0585555475</v>
      </c>
      <c r="I211" s="33">
        <v>-3377.9785555475391</v>
      </c>
      <c r="J211" s="16"/>
      <c r="K211" s="16"/>
      <c r="L211" s="16"/>
      <c r="M211" s="16"/>
      <c r="N211" s="16"/>
      <c r="O211" s="29"/>
    </row>
    <row r="212" spans="1:15">
      <c r="A212">
        <v>107970.19</v>
      </c>
      <c r="B212">
        <v>12870</v>
      </c>
      <c r="C212">
        <v>91.7</v>
      </c>
      <c r="D212">
        <v>0</v>
      </c>
      <c r="E212">
        <v>946833.54</v>
      </c>
      <c r="G212" s="32">
        <v>184</v>
      </c>
      <c r="H212" s="33">
        <v>828666.44169926667</v>
      </c>
      <c r="I212" s="33">
        <v>-9005.8516992666991</v>
      </c>
      <c r="J212" s="16"/>
      <c r="K212" s="16"/>
      <c r="L212" s="16"/>
      <c r="M212" s="16"/>
      <c r="N212" s="16"/>
      <c r="O212" s="29"/>
    </row>
    <row r="213" spans="1:15">
      <c r="A213">
        <v>49405.75</v>
      </c>
      <c r="B213">
        <v>9752</v>
      </c>
      <c r="C213">
        <v>87</v>
      </c>
      <c r="D213">
        <v>0</v>
      </c>
      <c r="E213">
        <v>761963.23</v>
      </c>
      <c r="G213" s="32">
        <v>185</v>
      </c>
      <c r="H213" s="33">
        <v>697871.47873907571</v>
      </c>
      <c r="I213" s="33">
        <v>-16015.918739075656</v>
      </c>
      <c r="J213" s="16"/>
      <c r="K213" s="16"/>
      <c r="L213" s="16"/>
      <c r="M213" s="16"/>
      <c r="N213" s="16"/>
      <c r="O213" s="29"/>
    </row>
    <row r="214" spans="1:15">
      <c r="A214">
        <v>50887.46</v>
      </c>
      <c r="B214">
        <v>9505</v>
      </c>
      <c r="C214">
        <v>89.7</v>
      </c>
      <c r="D214">
        <v>0</v>
      </c>
      <c r="E214">
        <v>812152.6</v>
      </c>
      <c r="G214" s="32">
        <v>186</v>
      </c>
      <c r="H214" s="33">
        <v>657721.65534284734</v>
      </c>
      <c r="I214" s="33">
        <v>20589.5146571527</v>
      </c>
      <c r="J214" s="16"/>
      <c r="K214" s="16"/>
      <c r="L214" s="16"/>
      <c r="M214" s="16"/>
      <c r="N214" s="16"/>
      <c r="O214" s="29"/>
    </row>
    <row r="215" spans="1:15">
      <c r="A215">
        <v>41819.449999999997</v>
      </c>
      <c r="B215">
        <v>9412</v>
      </c>
      <c r="C215">
        <v>91</v>
      </c>
      <c r="D215">
        <v>0</v>
      </c>
      <c r="E215">
        <v>804975.5</v>
      </c>
      <c r="G215" s="32">
        <v>187</v>
      </c>
      <c r="H215" s="33">
        <v>699778.32435612276</v>
      </c>
      <c r="I215" s="33">
        <v>66128.625643877196</v>
      </c>
      <c r="J215" s="16"/>
      <c r="K215" s="16"/>
      <c r="L215" s="16"/>
      <c r="M215" s="16"/>
      <c r="N215" s="16"/>
      <c r="O215" s="29"/>
    </row>
    <row r="216" spans="1:15">
      <c r="A216">
        <v>35296.54</v>
      </c>
      <c r="B216">
        <v>9644</v>
      </c>
      <c r="C216">
        <v>88</v>
      </c>
      <c r="D216">
        <v>0</v>
      </c>
      <c r="E216">
        <v>752321.72</v>
      </c>
      <c r="G216" s="32">
        <v>188</v>
      </c>
      <c r="H216" s="33">
        <v>706089.30287361541</v>
      </c>
      <c r="I216" s="33">
        <v>6457.0771263845963</v>
      </c>
      <c r="J216" s="16"/>
      <c r="K216" s="16"/>
      <c r="L216" s="16"/>
      <c r="M216" s="16"/>
      <c r="N216" s="16"/>
      <c r="O216" s="29"/>
    </row>
    <row r="217" spans="1:15">
      <c r="A217">
        <v>47391.09</v>
      </c>
      <c r="B217">
        <v>11224</v>
      </c>
      <c r="C217">
        <v>88.4</v>
      </c>
      <c r="D217">
        <v>0</v>
      </c>
      <c r="E217">
        <v>836908.24</v>
      </c>
      <c r="G217" s="32">
        <v>189</v>
      </c>
      <c r="H217" s="33">
        <v>590418.91398788779</v>
      </c>
      <c r="I217" s="33">
        <v>35574.916012112168</v>
      </c>
      <c r="J217" s="16"/>
      <c r="K217" s="16"/>
      <c r="L217" s="16"/>
      <c r="M217" s="16"/>
      <c r="N217" s="16"/>
      <c r="O217" s="29"/>
    </row>
    <row r="218" spans="1:15">
      <c r="A218">
        <v>69180.539999999994</v>
      </c>
      <c r="B218">
        <v>5394</v>
      </c>
      <c r="C218">
        <v>82.9</v>
      </c>
      <c r="D218">
        <v>1</v>
      </c>
      <c r="E218">
        <v>674289.1</v>
      </c>
      <c r="G218" s="32">
        <v>190</v>
      </c>
      <c r="H218" s="33">
        <v>545902.85490716435</v>
      </c>
      <c r="I218" s="33">
        <v>5060.0750928357011</v>
      </c>
      <c r="J218" s="16"/>
      <c r="K218" s="16"/>
      <c r="L218" s="16"/>
      <c r="M218" s="16"/>
      <c r="N218" s="16"/>
      <c r="O218" s="29"/>
    </row>
    <row r="219" spans="1:15">
      <c r="A219">
        <v>33987.33</v>
      </c>
      <c r="B219">
        <v>5014</v>
      </c>
      <c r="C219">
        <v>94.3</v>
      </c>
      <c r="D219">
        <v>1</v>
      </c>
      <c r="E219">
        <v>622892.42000000004</v>
      </c>
      <c r="G219" s="32">
        <v>191</v>
      </c>
      <c r="H219" s="33">
        <v>468426.29707311105</v>
      </c>
      <c r="I219" s="33">
        <v>-25150.707073111029</v>
      </c>
      <c r="J219" s="16"/>
      <c r="K219" s="16"/>
      <c r="L219" s="16"/>
      <c r="M219" s="16"/>
      <c r="N219" s="16"/>
      <c r="O219" s="29"/>
    </row>
    <row r="220" spans="1:15">
      <c r="A220">
        <v>58785.33</v>
      </c>
      <c r="B220">
        <v>4467</v>
      </c>
      <c r="C220">
        <v>90.7</v>
      </c>
      <c r="D220">
        <v>1</v>
      </c>
      <c r="E220">
        <v>673348.56</v>
      </c>
      <c r="G220" s="32">
        <v>192</v>
      </c>
      <c r="H220" s="33">
        <v>608390.41240167571</v>
      </c>
      <c r="I220" s="33">
        <v>-54378.342401675764</v>
      </c>
      <c r="J220" s="16"/>
      <c r="K220" s="16"/>
      <c r="L220" s="16"/>
      <c r="M220" s="16"/>
      <c r="N220" s="16"/>
      <c r="O220" s="29"/>
    </row>
    <row r="221" spans="1:15">
      <c r="A221">
        <v>16451.849999999999</v>
      </c>
      <c r="B221">
        <v>4678</v>
      </c>
      <c r="C221">
        <v>95.9</v>
      </c>
      <c r="D221">
        <v>1</v>
      </c>
      <c r="E221">
        <v>606278.30000000005</v>
      </c>
      <c r="G221" s="32">
        <v>193</v>
      </c>
      <c r="H221" s="33">
        <v>696664.09286220558</v>
      </c>
      <c r="I221" s="33">
        <v>-53235.242862205603</v>
      </c>
      <c r="J221" s="16"/>
      <c r="K221" s="16"/>
      <c r="L221" s="16"/>
      <c r="M221" s="16"/>
      <c r="N221" s="16"/>
      <c r="O221" s="29"/>
    </row>
    <row r="222" spans="1:15">
      <c r="A222">
        <v>53367.73</v>
      </c>
      <c r="B222">
        <v>7291</v>
      </c>
      <c r="C222">
        <v>90.6</v>
      </c>
      <c r="D222">
        <v>0</v>
      </c>
      <c r="E222">
        <v>712219.81</v>
      </c>
      <c r="G222" s="32">
        <v>194</v>
      </c>
      <c r="H222" s="33">
        <v>627767.29494318343</v>
      </c>
      <c r="I222" s="33">
        <v>-15843.024943183409</v>
      </c>
      <c r="J222" s="16"/>
      <c r="K222" s="16"/>
      <c r="L222" s="16"/>
      <c r="M222" s="16"/>
      <c r="N222" s="16"/>
      <c r="O222" s="29"/>
    </row>
    <row r="223" spans="1:15">
      <c r="A223">
        <v>27194.639999999999</v>
      </c>
      <c r="B223">
        <v>7404</v>
      </c>
      <c r="C223">
        <v>90.2</v>
      </c>
      <c r="D223">
        <v>0</v>
      </c>
      <c r="E223">
        <v>672670.54</v>
      </c>
      <c r="G223" s="32">
        <v>195</v>
      </c>
      <c r="H223" s="33">
        <v>563354.22290910524</v>
      </c>
      <c r="I223" s="33">
        <v>-3932.2029091052245</v>
      </c>
      <c r="J223" s="16"/>
      <c r="K223" s="16"/>
      <c r="L223" s="16"/>
      <c r="M223" s="16"/>
      <c r="N223" s="16"/>
      <c r="O223" s="29"/>
    </row>
    <row r="224" spans="1:15">
      <c r="A224">
        <v>66962.740000000005</v>
      </c>
      <c r="B224">
        <v>7880</v>
      </c>
      <c r="C224">
        <v>90.4</v>
      </c>
      <c r="D224">
        <v>0</v>
      </c>
      <c r="E224">
        <v>732667.92</v>
      </c>
      <c r="G224" s="32">
        <v>196</v>
      </c>
      <c r="H224" s="33">
        <v>539723.77229637513</v>
      </c>
      <c r="I224" s="33">
        <v>-90258.712296375132</v>
      </c>
      <c r="J224" s="16"/>
      <c r="K224" s="16"/>
      <c r="L224" s="16"/>
      <c r="M224" s="16"/>
      <c r="N224" s="16"/>
      <c r="O224" s="29"/>
    </row>
    <row r="225" spans="1:15">
      <c r="A225">
        <v>73540.990000000005</v>
      </c>
      <c r="B225">
        <v>8773</v>
      </c>
      <c r="C225">
        <v>84.4</v>
      </c>
      <c r="D225">
        <v>0</v>
      </c>
      <c r="E225">
        <v>723531.4</v>
      </c>
      <c r="G225" s="32">
        <v>197</v>
      </c>
      <c r="H225" s="33">
        <v>648276.29473575903</v>
      </c>
      <c r="I225" s="33">
        <v>43171.13526424102</v>
      </c>
      <c r="J225" s="16"/>
      <c r="K225" s="16"/>
      <c r="L225" s="16"/>
      <c r="M225" s="16"/>
      <c r="N225" s="16"/>
      <c r="O225" s="29"/>
    </row>
    <row r="226" spans="1:15">
      <c r="A226">
        <v>68212.289999999994</v>
      </c>
      <c r="B226">
        <v>4713</v>
      </c>
      <c r="C226">
        <v>82.6</v>
      </c>
      <c r="D226">
        <v>0</v>
      </c>
      <c r="E226">
        <v>641564.6</v>
      </c>
      <c r="G226" s="32">
        <v>198</v>
      </c>
      <c r="H226" s="33">
        <v>609866.99289508129</v>
      </c>
      <c r="I226" s="33">
        <v>-35800.382895081304</v>
      </c>
      <c r="J226" s="16"/>
      <c r="K226" s="16"/>
      <c r="L226" s="16"/>
      <c r="M226" s="16"/>
      <c r="N226" s="16"/>
      <c r="O226" s="29"/>
    </row>
    <row r="227" spans="1:15">
      <c r="A227">
        <v>57225.98</v>
      </c>
      <c r="B227">
        <v>2842</v>
      </c>
      <c r="C227">
        <v>79.5</v>
      </c>
      <c r="D227">
        <v>0</v>
      </c>
      <c r="E227">
        <v>536545.49</v>
      </c>
      <c r="G227" s="32">
        <v>199</v>
      </c>
      <c r="H227" s="33">
        <v>618720.22847441793</v>
      </c>
      <c r="I227" s="33">
        <v>-39770.388474417967</v>
      </c>
      <c r="J227" s="16"/>
      <c r="K227" s="16"/>
      <c r="L227" s="16"/>
      <c r="M227" s="16"/>
      <c r="N227" s="16"/>
      <c r="O227" s="29"/>
    </row>
    <row r="228" spans="1:15">
      <c r="A228">
        <v>42932.02</v>
      </c>
      <c r="B228">
        <v>3872</v>
      </c>
      <c r="C228">
        <v>83.2</v>
      </c>
      <c r="D228">
        <v>0</v>
      </c>
      <c r="E228">
        <v>527681.56000000006</v>
      </c>
      <c r="G228" s="32">
        <v>200</v>
      </c>
      <c r="H228" s="33">
        <v>657503.35689038958</v>
      </c>
      <c r="I228" s="33">
        <v>78283.283109610435</v>
      </c>
      <c r="J228" s="16"/>
      <c r="K228" s="16"/>
      <c r="L228" s="16"/>
      <c r="M228" s="16"/>
      <c r="N228" s="16"/>
      <c r="O228" s="29"/>
    </row>
    <row r="229" spans="1:15">
      <c r="A229">
        <v>39341.449999999997</v>
      </c>
      <c r="B229">
        <v>1375</v>
      </c>
      <c r="C229">
        <v>95</v>
      </c>
      <c r="D229">
        <v>0</v>
      </c>
      <c r="E229">
        <v>529598.93999999994</v>
      </c>
      <c r="G229" s="32">
        <v>201</v>
      </c>
      <c r="H229" s="33">
        <v>608376.40278762043</v>
      </c>
      <c r="I229" s="33">
        <v>-9471.5027876204113</v>
      </c>
      <c r="J229" s="16"/>
      <c r="K229" s="16"/>
      <c r="L229" s="16"/>
      <c r="M229" s="16"/>
      <c r="N229" s="16"/>
      <c r="O229" s="29"/>
    </row>
    <row r="230" spans="1:15">
      <c r="A230">
        <v>37324.230000000003</v>
      </c>
      <c r="B230">
        <v>5957</v>
      </c>
      <c r="C230">
        <v>85.9</v>
      </c>
      <c r="D230">
        <v>0</v>
      </c>
      <c r="E230">
        <v>570963.31000000006</v>
      </c>
      <c r="G230" s="32">
        <v>202</v>
      </c>
      <c r="H230" s="33">
        <v>687766.47951942426</v>
      </c>
      <c r="I230" s="33">
        <v>99949.030480575748</v>
      </c>
      <c r="J230" s="16"/>
      <c r="K230" s="16"/>
      <c r="L230" s="16"/>
      <c r="M230" s="16"/>
      <c r="N230" s="16"/>
      <c r="O230" s="29"/>
    </row>
    <row r="231" spans="1:15">
      <c r="A231">
        <v>113736</v>
      </c>
      <c r="B231">
        <v>8961</v>
      </c>
      <c r="C231">
        <v>86.2</v>
      </c>
      <c r="D231">
        <v>0</v>
      </c>
      <c r="E231">
        <v>870937.4</v>
      </c>
      <c r="G231" s="32">
        <v>203</v>
      </c>
      <c r="H231" s="33">
        <v>645276.35606490332</v>
      </c>
      <c r="I231" s="33">
        <v>-38191.436064903275</v>
      </c>
      <c r="J231" s="16"/>
      <c r="K231" s="16"/>
      <c r="L231" s="16"/>
      <c r="M231" s="16"/>
      <c r="N231" s="16"/>
      <c r="O231" s="29"/>
    </row>
    <row r="232" spans="1:15">
      <c r="A232">
        <v>33173.949999999997</v>
      </c>
      <c r="B232">
        <v>6545</v>
      </c>
      <c r="C232">
        <v>84.4</v>
      </c>
      <c r="D232">
        <v>0</v>
      </c>
      <c r="E232">
        <v>596969.27</v>
      </c>
      <c r="G232" s="32">
        <v>204</v>
      </c>
      <c r="H232" s="33">
        <v>672731.93503110867</v>
      </c>
      <c r="I232" s="33">
        <v>-21936.445031108684</v>
      </c>
      <c r="J232" s="16"/>
      <c r="K232" s="16"/>
      <c r="L232" s="16"/>
      <c r="M232" s="16"/>
      <c r="N232" s="16"/>
      <c r="O232" s="29"/>
    </row>
    <row r="233" spans="1:15">
      <c r="A233">
        <v>25818.080000000002</v>
      </c>
      <c r="B233">
        <v>5457</v>
      </c>
      <c r="C233">
        <v>95.4</v>
      </c>
      <c r="D233">
        <v>0</v>
      </c>
      <c r="E233">
        <v>647512.85</v>
      </c>
      <c r="G233" s="32">
        <v>205</v>
      </c>
      <c r="H233" s="33">
        <v>838541.60158265149</v>
      </c>
      <c r="I233" s="33">
        <v>-13481.081582651474</v>
      </c>
      <c r="J233" s="16"/>
      <c r="K233" s="16"/>
      <c r="L233" s="16"/>
      <c r="M233" s="16"/>
      <c r="N233" s="16"/>
      <c r="O233" s="29"/>
    </row>
    <row r="234" spans="1:15">
      <c r="A234">
        <v>47241.919999999998</v>
      </c>
      <c r="B234">
        <v>4264</v>
      </c>
      <c r="C234">
        <v>95.3</v>
      </c>
      <c r="D234">
        <v>0</v>
      </c>
      <c r="E234">
        <v>658072.14</v>
      </c>
      <c r="G234" s="32">
        <v>206</v>
      </c>
      <c r="H234" s="33">
        <v>739598.55474677496</v>
      </c>
      <c r="I234" s="33">
        <v>55865.915253225015</v>
      </c>
      <c r="J234" s="16"/>
      <c r="K234" s="16"/>
      <c r="L234" s="16"/>
      <c r="M234" s="16"/>
      <c r="N234" s="16"/>
      <c r="O234" s="29"/>
    </row>
    <row r="235" spans="1:15">
      <c r="A235">
        <v>61650.79</v>
      </c>
      <c r="B235">
        <v>5321</v>
      </c>
      <c r="C235">
        <v>89.2</v>
      </c>
      <c r="D235">
        <v>0</v>
      </c>
      <c r="E235">
        <v>723305.11</v>
      </c>
      <c r="G235" s="32">
        <v>207</v>
      </c>
      <c r="H235" s="33">
        <v>735915.97703582107</v>
      </c>
      <c r="I235" s="33">
        <v>-64047.387035821099</v>
      </c>
      <c r="J235" s="16"/>
      <c r="K235" s="16"/>
      <c r="L235" s="16"/>
      <c r="M235" s="16"/>
      <c r="N235" s="16"/>
      <c r="O235" s="29"/>
    </row>
    <row r="236" spans="1:15">
      <c r="A236">
        <v>62582.71</v>
      </c>
      <c r="B236">
        <v>5479</v>
      </c>
      <c r="C236">
        <v>81.2</v>
      </c>
      <c r="D236">
        <v>0</v>
      </c>
      <c r="E236">
        <v>640666.53</v>
      </c>
      <c r="G236" s="32">
        <v>208</v>
      </c>
      <c r="H236" s="33">
        <v>755029.64973211871</v>
      </c>
      <c r="I236" s="33">
        <v>-79112.019732118701</v>
      </c>
      <c r="J236" s="16"/>
      <c r="K236" s="16"/>
      <c r="L236" s="16"/>
      <c r="M236" s="16"/>
      <c r="N236" s="16"/>
      <c r="O236" s="29"/>
    </row>
    <row r="237" spans="1:15">
      <c r="A237">
        <v>47944.14</v>
      </c>
      <c r="B237">
        <v>6169</v>
      </c>
      <c r="C237">
        <v>92.2</v>
      </c>
      <c r="D237">
        <v>0</v>
      </c>
      <c r="E237">
        <v>670629.48</v>
      </c>
      <c r="G237" s="32">
        <v>209</v>
      </c>
      <c r="H237" s="33">
        <v>805346.76926856197</v>
      </c>
      <c r="I237" s="33">
        <v>5099.7607314380584</v>
      </c>
      <c r="J237" s="16"/>
      <c r="K237" s="16"/>
      <c r="L237" s="16"/>
      <c r="M237" s="16"/>
      <c r="N237" s="16"/>
      <c r="O237" s="29"/>
    </row>
    <row r="238" spans="1:15">
      <c r="A238">
        <v>46495.4</v>
      </c>
      <c r="B238">
        <v>9908</v>
      </c>
      <c r="C238">
        <v>89.4</v>
      </c>
      <c r="D238">
        <v>0</v>
      </c>
      <c r="E238">
        <v>721079.35</v>
      </c>
      <c r="G238" s="32">
        <v>210</v>
      </c>
      <c r="H238" s="33">
        <v>776156.10168994265</v>
      </c>
      <c r="I238" s="33">
        <v>-84867.911689942703</v>
      </c>
      <c r="J238" s="16"/>
      <c r="K238" s="16"/>
      <c r="L238" s="16"/>
      <c r="M238" s="16"/>
      <c r="N238" s="16"/>
      <c r="O238" s="29"/>
    </row>
    <row r="239" spans="1:15">
      <c r="A239">
        <v>72961.95</v>
      </c>
      <c r="B239">
        <v>9996</v>
      </c>
      <c r="C239">
        <v>89.1</v>
      </c>
      <c r="D239">
        <v>0</v>
      </c>
      <c r="E239">
        <v>810355.02</v>
      </c>
      <c r="G239" s="32">
        <v>211</v>
      </c>
      <c r="H239" s="33">
        <v>963870.30821872945</v>
      </c>
      <c r="I239" s="33">
        <v>-17036.768218729412</v>
      </c>
      <c r="J239" s="16"/>
      <c r="K239" s="16"/>
      <c r="L239" s="16"/>
      <c r="M239" s="16"/>
      <c r="N239" s="16"/>
      <c r="O239" s="29"/>
    </row>
    <row r="240" spans="1:15">
      <c r="A240">
        <v>59060.05</v>
      </c>
      <c r="B240">
        <v>9702</v>
      </c>
      <c r="C240">
        <v>80.900000000000006</v>
      </c>
      <c r="D240">
        <v>0</v>
      </c>
      <c r="E240">
        <v>761919.25</v>
      </c>
      <c r="G240" s="32">
        <v>212</v>
      </c>
      <c r="H240" s="33">
        <v>776256.85641330981</v>
      </c>
      <c r="I240" s="33">
        <v>-14293.62641330983</v>
      </c>
      <c r="J240" s="16"/>
      <c r="K240" s="16"/>
      <c r="L240" s="16"/>
      <c r="M240" s="16"/>
      <c r="N240" s="16"/>
      <c r="O240" s="29"/>
    </row>
    <row r="241" spans="1:15">
      <c r="A241">
        <v>26248.1</v>
      </c>
      <c r="B241">
        <v>9314</v>
      </c>
      <c r="C241">
        <v>83.7</v>
      </c>
      <c r="D241">
        <v>0</v>
      </c>
      <c r="E241">
        <v>737070.18</v>
      </c>
      <c r="G241" s="32">
        <v>213</v>
      </c>
      <c r="H241" s="33">
        <v>777582.15978778643</v>
      </c>
      <c r="I241" s="33">
        <v>34570.440212213551</v>
      </c>
      <c r="J241" s="16"/>
      <c r="K241" s="16"/>
      <c r="L241" s="16"/>
      <c r="M241" s="16"/>
      <c r="N241" s="16"/>
      <c r="O241" s="29"/>
    </row>
    <row r="242" spans="1:15">
      <c r="A242">
        <v>69900.12</v>
      </c>
      <c r="B242">
        <v>8055</v>
      </c>
      <c r="C242">
        <v>85.6</v>
      </c>
      <c r="D242">
        <v>0</v>
      </c>
      <c r="E242">
        <v>776992.93</v>
      </c>
      <c r="G242" s="32">
        <v>214</v>
      </c>
      <c r="H242" s="33">
        <v>767583.2185941136</v>
      </c>
      <c r="I242" s="33">
        <v>37392.281405886402</v>
      </c>
      <c r="J242" s="16"/>
      <c r="K242" s="16"/>
      <c r="L242" s="16"/>
      <c r="M242" s="16"/>
      <c r="N242" s="16"/>
      <c r="O242" s="29"/>
    </row>
    <row r="243" spans="1:15">
      <c r="A243">
        <v>51781.599999999999</v>
      </c>
      <c r="B243">
        <v>5648</v>
      </c>
      <c r="C243">
        <v>85.5</v>
      </c>
      <c r="D243">
        <v>0</v>
      </c>
      <c r="E243">
        <v>676337.41</v>
      </c>
      <c r="G243" s="32">
        <v>215</v>
      </c>
      <c r="H243" s="33">
        <v>758943.69665697706</v>
      </c>
      <c r="I243" s="33">
        <v>-6621.9766569770873</v>
      </c>
      <c r="J243" s="16"/>
      <c r="K243" s="16"/>
      <c r="L243" s="16"/>
      <c r="M243" s="16"/>
      <c r="N243" s="16"/>
      <c r="O243" s="29"/>
    </row>
    <row r="244" spans="1:15">
      <c r="A244">
        <v>70799.64</v>
      </c>
      <c r="B244">
        <v>10076</v>
      </c>
      <c r="C244">
        <v>84.8</v>
      </c>
      <c r="D244">
        <v>0</v>
      </c>
      <c r="E244">
        <v>828219.67</v>
      </c>
      <c r="G244" s="32">
        <v>216</v>
      </c>
      <c r="H244" s="33">
        <v>827529.91811676952</v>
      </c>
      <c r="I244" s="33">
        <v>9378.3218832304701</v>
      </c>
      <c r="J244" s="16"/>
      <c r="K244" s="16"/>
      <c r="L244" s="16"/>
      <c r="M244" s="16"/>
      <c r="N244" s="16"/>
      <c r="O244" s="29"/>
    </row>
    <row r="245" spans="1:15">
      <c r="A245">
        <v>53546.34</v>
      </c>
      <c r="B245">
        <v>8004</v>
      </c>
      <c r="C245">
        <v>95.2</v>
      </c>
      <c r="D245">
        <v>0</v>
      </c>
      <c r="E245">
        <v>763159.92</v>
      </c>
      <c r="G245" s="32">
        <v>217</v>
      </c>
      <c r="H245" s="33">
        <v>639811.75648289919</v>
      </c>
      <c r="I245" s="33">
        <v>34477.343517100788</v>
      </c>
      <c r="J245" s="16"/>
      <c r="K245" s="16"/>
      <c r="L245" s="16"/>
      <c r="M245" s="16"/>
      <c r="N245" s="16"/>
      <c r="O245" s="29"/>
    </row>
    <row r="246" spans="1:15">
      <c r="A246">
        <v>76942.2</v>
      </c>
      <c r="B246">
        <v>8934</v>
      </c>
      <c r="C246">
        <v>91</v>
      </c>
      <c r="D246">
        <v>0</v>
      </c>
      <c r="E246">
        <v>802001.68</v>
      </c>
      <c r="G246" s="32">
        <v>218</v>
      </c>
      <c r="H246" s="33">
        <v>618947.9892267416</v>
      </c>
      <c r="I246" s="33">
        <v>3944.4307732584421</v>
      </c>
      <c r="J246" s="16"/>
      <c r="K246" s="16"/>
      <c r="L246" s="16"/>
      <c r="M246" s="16"/>
      <c r="N246" s="16"/>
      <c r="O246" s="29"/>
    </row>
    <row r="247" spans="1:15">
      <c r="A247">
        <v>48060.78</v>
      </c>
      <c r="B247">
        <v>8733</v>
      </c>
      <c r="C247">
        <v>89.9</v>
      </c>
      <c r="D247">
        <v>0</v>
      </c>
      <c r="E247">
        <v>750471.34</v>
      </c>
      <c r="G247" s="32">
        <v>219</v>
      </c>
      <c r="H247" s="33">
        <v>619186.77346400649</v>
      </c>
      <c r="I247" s="33">
        <v>54161.786535993568</v>
      </c>
      <c r="J247" s="16"/>
      <c r="K247" s="16"/>
      <c r="L247" s="16"/>
      <c r="M247" s="16"/>
      <c r="N247" s="16"/>
      <c r="O247" s="29"/>
    </row>
    <row r="248" spans="1:15">
      <c r="A248">
        <v>57390.04</v>
      </c>
      <c r="B248">
        <v>7374</v>
      </c>
      <c r="C248">
        <v>91.8</v>
      </c>
      <c r="D248">
        <v>0</v>
      </c>
      <c r="E248">
        <v>679230.86</v>
      </c>
      <c r="G248" s="32">
        <v>220</v>
      </c>
      <c r="H248" s="33">
        <v>591683.07634078746</v>
      </c>
      <c r="I248" s="33">
        <v>14595.223659212585</v>
      </c>
      <c r="J248" s="16"/>
      <c r="K248" s="16"/>
      <c r="L248" s="16"/>
      <c r="M248" s="16"/>
      <c r="N248" s="16"/>
      <c r="O248" s="29"/>
    </row>
    <row r="249" spans="1:15">
      <c r="A249">
        <v>21536.18</v>
      </c>
      <c r="B249">
        <v>8119</v>
      </c>
      <c r="C249">
        <v>90.4</v>
      </c>
      <c r="D249">
        <v>0</v>
      </c>
      <c r="E249">
        <v>679888.74</v>
      </c>
      <c r="G249" s="32">
        <v>221</v>
      </c>
      <c r="H249" s="33">
        <v>708606.62884301669</v>
      </c>
      <c r="I249" s="33">
        <v>3613.1811569833662</v>
      </c>
      <c r="J249" s="16"/>
      <c r="K249" s="16"/>
      <c r="L249" s="16"/>
      <c r="M249" s="16"/>
      <c r="N249" s="16"/>
      <c r="O249" s="29"/>
    </row>
    <row r="250" spans="1:15">
      <c r="A250">
        <v>40923.67</v>
      </c>
      <c r="B250">
        <v>3875</v>
      </c>
      <c r="C250">
        <v>96.1</v>
      </c>
      <c r="D250">
        <v>1</v>
      </c>
      <c r="E250">
        <v>606783.67000000004</v>
      </c>
      <c r="G250" s="32">
        <v>222</v>
      </c>
      <c r="H250" s="33">
        <v>680442.82703775133</v>
      </c>
      <c r="I250" s="33">
        <v>-7772.2870377512882</v>
      </c>
      <c r="J250" s="16"/>
      <c r="K250" s="16"/>
      <c r="L250" s="16"/>
      <c r="M250" s="16"/>
      <c r="N250" s="16"/>
      <c r="O250" s="29"/>
    </row>
    <row r="251" spans="1:15">
      <c r="A251">
        <v>72932.55</v>
      </c>
      <c r="B251">
        <v>5765</v>
      </c>
      <c r="C251">
        <v>81.8</v>
      </c>
      <c r="D251">
        <v>1</v>
      </c>
      <c r="E251">
        <v>642751.42000000004</v>
      </c>
      <c r="G251" s="32">
        <v>223</v>
      </c>
      <c r="H251" s="33">
        <v>743845.40333228023</v>
      </c>
      <c r="I251" s="33">
        <v>-11177.483332280186</v>
      </c>
      <c r="J251" s="16"/>
      <c r="K251" s="16"/>
      <c r="L251" s="16"/>
      <c r="M251" s="16"/>
      <c r="N251" s="16"/>
      <c r="O251" s="29"/>
    </row>
    <row r="252" spans="1:15">
      <c r="A252">
        <v>38361.93</v>
      </c>
      <c r="B252">
        <v>6322</v>
      </c>
      <c r="C252">
        <v>88.4</v>
      </c>
      <c r="D252">
        <v>1</v>
      </c>
      <c r="E252">
        <v>647953.78</v>
      </c>
      <c r="G252" s="32">
        <v>224</v>
      </c>
      <c r="H252" s="33">
        <v>764098.58762176894</v>
      </c>
      <c r="I252" s="33">
        <v>-40567.187621768913</v>
      </c>
      <c r="J252" s="16"/>
      <c r="K252" s="16"/>
      <c r="L252" s="16"/>
      <c r="M252" s="16"/>
      <c r="N252" s="16"/>
      <c r="O252" s="29"/>
    </row>
    <row r="253" spans="1:15">
      <c r="A253">
        <v>97480.94</v>
      </c>
      <c r="B253">
        <v>6840</v>
      </c>
      <c r="C253">
        <v>79.2</v>
      </c>
      <c r="D253">
        <v>1</v>
      </c>
      <c r="E253">
        <v>729440.45</v>
      </c>
      <c r="G253" s="32">
        <v>225</v>
      </c>
      <c r="H253" s="33">
        <v>615899.42542809283</v>
      </c>
      <c r="I253" s="33">
        <v>25665.174571907148</v>
      </c>
      <c r="J253" s="16"/>
      <c r="K253" s="16"/>
      <c r="L253" s="16"/>
      <c r="M253" s="16"/>
      <c r="N253" s="16"/>
      <c r="O253" s="29"/>
    </row>
    <row r="254" spans="1:15">
      <c r="A254">
        <v>81801.8</v>
      </c>
      <c r="B254">
        <v>6782</v>
      </c>
      <c r="C254">
        <v>99</v>
      </c>
      <c r="D254">
        <v>0</v>
      </c>
      <c r="E254">
        <v>764949</v>
      </c>
      <c r="G254" s="32">
        <v>226</v>
      </c>
      <c r="H254" s="33">
        <v>530925.707641694</v>
      </c>
      <c r="I254" s="33">
        <v>5619.7823583059944</v>
      </c>
      <c r="J254" s="16"/>
      <c r="K254" s="16"/>
      <c r="L254" s="16"/>
      <c r="M254" s="16"/>
      <c r="N254" s="16"/>
      <c r="O254" s="29"/>
    </row>
    <row r="255" spans="1:15">
      <c r="A255">
        <v>63582.11</v>
      </c>
      <c r="B255">
        <v>6856</v>
      </c>
      <c r="C255">
        <v>89.5</v>
      </c>
      <c r="D255">
        <v>0</v>
      </c>
      <c r="E255">
        <v>799046.94</v>
      </c>
      <c r="G255" s="32">
        <v>227</v>
      </c>
      <c r="H255" s="33">
        <v>559597.82073871908</v>
      </c>
      <c r="I255" s="33">
        <v>-31916.260738719022</v>
      </c>
      <c r="J255" s="16"/>
      <c r="K255" s="16"/>
      <c r="L255" s="16"/>
      <c r="M255" s="16"/>
      <c r="N255" s="16"/>
      <c r="O255" s="29"/>
    </row>
    <row r="256" spans="1:15">
      <c r="A256">
        <v>75412.740000000005</v>
      </c>
      <c r="B256">
        <v>5641</v>
      </c>
      <c r="C256">
        <v>87.9</v>
      </c>
      <c r="D256">
        <v>0</v>
      </c>
      <c r="E256">
        <v>720079.54</v>
      </c>
      <c r="G256" s="32">
        <v>228</v>
      </c>
      <c r="H256" s="33">
        <v>505829.55594093294</v>
      </c>
      <c r="I256" s="33">
        <v>23769.384059067001</v>
      </c>
      <c r="J256" s="16"/>
      <c r="K256" s="16"/>
      <c r="L256" s="16"/>
      <c r="M256" s="16"/>
      <c r="N256" s="16"/>
      <c r="O256" s="29"/>
    </row>
    <row r="257" spans="1:15">
      <c r="A257">
        <v>36290.080000000002</v>
      </c>
      <c r="B257">
        <v>5787</v>
      </c>
      <c r="C257">
        <v>88.3</v>
      </c>
      <c r="D257">
        <v>0</v>
      </c>
      <c r="E257">
        <v>612390.14</v>
      </c>
      <c r="G257" s="32">
        <v>229</v>
      </c>
      <c r="H257" s="33">
        <v>631079.07184355205</v>
      </c>
      <c r="I257" s="33">
        <v>-60115.761843551998</v>
      </c>
      <c r="J257" s="16"/>
      <c r="K257" s="16"/>
      <c r="L257" s="16"/>
      <c r="M257" s="16"/>
      <c r="N257" s="16"/>
      <c r="O257" s="29"/>
    </row>
    <row r="258" spans="1:15">
      <c r="A258">
        <v>65272.58</v>
      </c>
      <c r="B258">
        <v>8165</v>
      </c>
      <c r="C258">
        <v>87.8</v>
      </c>
      <c r="D258">
        <v>0</v>
      </c>
      <c r="E258">
        <v>840108.12</v>
      </c>
      <c r="G258" s="32">
        <v>230</v>
      </c>
      <c r="H258" s="33">
        <v>822988.23873038078</v>
      </c>
      <c r="I258" s="33">
        <v>47949.161269619246</v>
      </c>
      <c r="J258" s="16"/>
      <c r="K258" s="16"/>
      <c r="L258" s="16"/>
      <c r="M258" s="16"/>
      <c r="N258" s="16"/>
      <c r="O258" s="29"/>
    </row>
    <row r="259" spans="1:15">
      <c r="A259">
        <v>28670.43</v>
      </c>
      <c r="B259">
        <v>7574</v>
      </c>
      <c r="C259">
        <v>82.7</v>
      </c>
      <c r="D259">
        <v>0</v>
      </c>
      <c r="E259">
        <v>697888.09</v>
      </c>
      <c r="G259" s="32">
        <v>231</v>
      </c>
      <c r="H259" s="33">
        <v>641601.56328677828</v>
      </c>
      <c r="I259" s="33">
        <v>-44632.293286778266</v>
      </c>
      <c r="J259" s="16"/>
      <c r="K259" s="16"/>
      <c r="L259" s="16"/>
      <c r="M259" s="16"/>
      <c r="N259" s="16"/>
      <c r="O259" s="29"/>
    </row>
    <row r="260" spans="1:15">
      <c r="A260">
        <v>44189.34</v>
      </c>
      <c r="B260">
        <v>8634</v>
      </c>
      <c r="C260">
        <v>87.5</v>
      </c>
      <c r="D260">
        <v>0</v>
      </c>
      <c r="E260">
        <v>746115.59</v>
      </c>
      <c r="G260" s="32">
        <v>232</v>
      </c>
      <c r="H260" s="33">
        <v>628491.85380783316</v>
      </c>
      <c r="I260" s="33">
        <v>19020.996192166815</v>
      </c>
      <c r="J260" s="16"/>
      <c r="K260" s="16"/>
      <c r="L260" s="16"/>
      <c r="M260" s="16"/>
      <c r="N260" s="16"/>
      <c r="O260" s="29"/>
    </row>
    <row r="261" spans="1:15">
      <c r="A261">
        <v>38397.82</v>
      </c>
      <c r="B261">
        <v>7836</v>
      </c>
      <c r="C261">
        <v>92.2</v>
      </c>
      <c r="D261">
        <v>0</v>
      </c>
      <c r="E261">
        <v>776110.32</v>
      </c>
      <c r="G261" s="32">
        <v>233</v>
      </c>
      <c r="H261" s="33">
        <v>613250.80344884982</v>
      </c>
      <c r="I261" s="33">
        <v>44821.336551150191</v>
      </c>
      <c r="J261" s="16"/>
      <c r="K261" s="16"/>
      <c r="L261" s="16"/>
      <c r="M261" s="16"/>
      <c r="N261" s="16"/>
      <c r="O261" s="29"/>
    </row>
    <row r="262" spans="1:15">
      <c r="A262">
        <v>14519.37</v>
      </c>
      <c r="B262">
        <v>3047</v>
      </c>
      <c r="C262">
        <v>90.3</v>
      </c>
      <c r="D262">
        <v>0</v>
      </c>
      <c r="E262">
        <v>528852.62</v>
      </c>
      <c r="G262" s="32">
        <v>234</v>
      </c>
      <c r="H262" s="33">
        <v>647946.23766277288</v>
      </c>
      <c r="I262" s="33">
        <v>75358.872337227105</v>
      </c>
      <c r="J262" s="16"/>
      <c r="K262" s="16"/>
      <c r="L262" s="16"/>
      <c r="M262" s="16"/>
      <c r="N262" s="16"/>
      <c r="O262" s="29"/>
    </row>
    <row r="263" spans="1:15">
      <c r="A263">
        <v>43288.2</v>
      </c>
      <c r="B263">
        <v>4783</v>
      </c>
      <c r="C263">
        <v>87.3</v>
      </c>
      <c r="D263">
        <v>0</v>
      </c>
      <c r="E263">
        <v>605751.32999999996</v>
      </c>
      <c r="G263" s="32">
        <v>235</v>
      </c>
      <c r="H263" s="33">
        <v>630965.39086849568</v>
      </c>
      <c r="I263" s="33">
        <v>9701.1391315043438</v>
      </c>
      <c r="J263" s="16"/>
      <c r="K263" s="16"/>
      <c r="L263" s="16"/>
      <c r="M263" s="16"/>
      <c r="N263" s="16"/>
      <c r="O263" s="29"/>
    </row>
    <row r="264" spans="1:15">
      <c r="A264">
        <v>51450.55</v>
      </c>
      <c r="B264">
        <v>4902</v>
      </c>
      <c r="C264">
        <v>83.7</v>
      </c>
      <c r="D264">
        <v>0</v>
      </c>
      <c r="E264">
        <v>677640.65</v>
      </c>
      <c r="G264" s="32">
        <v>236</v>
      </c>
      <c r="H264" s="33">
        <v>669135.93820723228</v>
      </c>
      <c r="I264" s="33">
        <v>1493.5417927677045</v>
      </c>
      <c r="J264" s="16"/>
      <c r="K264" s="16"/>
      <c r="L264" s="16"/>
      <c r="M264" s="16"/>
      <c r="N264" s="16"/>
      <c r="O264" s="29"/>
    </row>
    <row r="265" spans="1:15">
      <c r="A265">
        <v>58688.26</v>
      </c>
      <c r="B265">
        <v>4022</v>
      </c>
      <c r="C265">
        <v>93.8</v>
      </c>
      <c r="D265">
        <v>0</v>
      </c>
      <c r="E265">
        <v>636613.23</v>
      </c>
      <c r="G265" s="32">
        <v>237</v>
      </c>
      <c r="H265" s="33">
        <v>785102.19907426822</v>
      </c>
      <c r="I265" s="33">
        <v>-64022.849074268248</v>
      </c>
      <c r="J265" s="16"/>
      <c r="K265" s="16"/>
      <c r="L265" s="16"/>
      <c r="M265" s="16"/>
      <c r="N265" s="16"/>
      <c r="O265" s="29"/>
    </row>
    <row r="266" spans="1:15">
      <c r="A266">
        <v>58981.91</v>
      </c>
      <c r="B266">
        <v>7324</v>
      </c>
      <c r="C266">
        <v>95.8</v>
      </c>
      <c r="D266">
        <v>0</v>
      </c>
      <c r="E266">
        <v>708985.19</v>
      </c>
      <c r="G266" s="32">
        <v>238</v>
      </c>
      <c r="H266" s="33">
        <v>818330.08993206243</v>
      </c>
      <c r="I266" s="33">
        <v>-7975.0699320624117</v>
      </c>
      <c r="J266" s="16"/>
      <c r="K266" s="16"/>
      <c r="L266" s="16"/>
      <c r="M266" s="16"/>
      <c r="N266" s="16"/>
      <c r="O266" s="29"/>
    </row>
    <row r="267" spans="1:15">
      <c r="A267">
        <v>73454.539999999994</v>
      </c>
      <c r="B267">
        <v>8129</v>
      </c>
      <c r="C267">
        <v>85.2</v>
      </c>
      <c r="D267">
        <v>0</v>
      </c>
      <c r="E267">
        <v>767792.94</v>
      </c>
      <c r="G267" s="32">
        <v>239</v>
      </c>
      <c r="H267" s="33">
        <v>768094.56838872971</v>
      </c>
      <c r="I267" s="33">
        <v>-6175.3183887297055</v>
      </c>
      <c r="J267" s="16"/>
      <c r="K267" s="16"/>
      <c r="L267" s="16"/>
      <c r="M267" s="16"/>
      <c r="N267" s="16"/>
      <c r="O267" s="29"/>
    </row>
    <row r="268" spans="1:15">
      <c r="A268">
        <v>56602.39</v>
      </c>
      <c r="B268">
        <v>7969</v>
      </c>
      <c r="C268">
        <v>88.3</v>
      </c>
      <c r="D268">
        <v>0</v>
      </c>
      <c r="E268">
        <v>745580.51</v>
      </c>
      <c r="G268" s="32">
        <v>240</v>
      </c>
      <c r="H268" s="33">
        <v>724612.91731326678</v>
      </c>
      <c r="I268" s="33">
        <v>12457.262686733273</v>
      </c>
      <c r="J268" s="16"/>
      <c r="K268" s="16"/>
      <c r="L268" s="16"/>
      <c r="M268" s="16"/>
      <c r="N268" s="16"/>
      <c r="O268" s="29"/>
    </row>
    <row r="269" spans="1:15">
      <c r="A269">
        <v>67722.289999999994</v>
      </c>
      <c r="B269">
        <v>7240</v>
      </c>
      <c r="C269">
        <v>92.9</v>
      </c>
      <c r="D269">
        <v>0</v>
      </c>
      <c r="E269">
        <v>762328.31</v>
      </c>
      <c r="G269" s="32">
        <v>241</v>
      </c>
      <c r="H269" s="33">
        <v>739154.97840507585</v>
      </c>
      <c r="I269" s="33">
        <v>37837.951594924205</v>
      </c>
      <c r="J269" s="16"/>
      <c r="K269" s="16"/>
      <c r="L269" s="16"/>
      <c r="M269" s="16"/>
      <c r="N269" s="16"/>
      <c r="O269" s="29"/>
    </row>
    <row r="270" spans="1:15">
      <c r="A270">
        <v>48752.92</v>
      </c>
      <c r="B270">
        <v>8052</v>
      </c>
      <c r="C270">
        <v>94.9</v>
      </c>
      <c r="D270">
        <v>0</v>
      </c>
      <c r="E270">
        <v>660633.99</v>
      </c>
      <c r="G270" s="32">
        <v>242</v>
      </c>
      <c r="H270" s="33">
        <v>636519.84614213696</v>
      </c>
      <c r="I270" s="33">
        <v>39817.563857863075</v>
      </c>
      <c r="J270" s="16"/>
      <c r="K270" s="16"/>
      <c r="L270" s="16"/>
      <c r="M270" s="16"/>
      <c r="N270" s="16"/>
      <c r="O270" s="29"/>
    </row>
    <row r="271" spans="1:15">
      <c r="A271">
        <v>23914.97</v>
      </c>
      <c r="B271">
        <v>8018</v>
      </c>
      <c r="C271">
        <v>89</v>
      </c>
      <c r="D271">
        <v>0</v>
      </c>
      <c r="E271">
        <v>739374.56</v>
      </c>
      <c r="G271" s="32">
        <v>243</v>
      </c>
      <c r="H271" s="33">
        <v>805903.31008764065</v>
      </c>
      <c r="I271" s="33">
        <v>22316.359912359389</v>
      </c>
      <c r="J271" s="16"/>
      <c r="K271" s="16"/>
      <c r="L271" s="16"/>
      <c r="M271" s="16"/>
      <c r="N271" s="16"/>
      <c r="O271" s="29"/>
    </row>
    <row r="272" spans="1:15">
      <c r="A272">
        <v>61995.3</v>
      </c>
      <c r="B272">
        <v>10192</v>
      </c>
      <c r="C272">
        <v>87.6</v>
      </c>
      <c r="D272">
        <v>0</v>
      </c>
      <c r="E272">
        <v>799756.46</v>
      </c>
      <c r="G272" s="32">
        <v>244</v>
      </c>
      <c r="H272" s="33">
        <v>746269.9479521577</v>
      </c>
      <c r="I272" s="33">
        <v>16889.972047842341</v>
      </c>
      <c r="J272" s="16"/>
      <c r="K272" s="16"/>
      <c r="L272" s="16"/>
      <c r="M272" s="16"/>
      <c r="N272" s="16"/>
      <c r="O272" s="29"/>
    </row>
    <row r="273" spans="1:15">
      <c r="A273">
        <v>29344.93</v>
      </c>
      <c r="B273">
        <v>7446</v>
      </c>
      <c r="C273">
        <v>86.2</v>
      </c>
      <c r="D273">
        <v>0</v>
      </c>
      <c r="E273">
        <v>593343</v>
      </c>
      <c r="G273" s="32">
        <v>245</v>
      </c>
      <c r="H273" s="33">
        <v>792821.87039768801</v>
      </c>
      <c r="I273" s="33">
        <v>9179.8096023120452</v>
      </c>
      <c r="J273" s="16"/>
      <c r="K273" s="16"/>
      <c r="L273" s="16"/>
      <c r="M273" s="16"/>
      <c r="N273" s="16"/>
      <c r="O273" s="29"/>
    </row>
    <row r="274" spans="1:15">
      <c r="A274">
        <v>50532.17</v>
      </c>
      <c r="B274">
        <v>5689</v>
      </c>
      <c r="C274">
        <v>85.6</v>
      </c>
      <c r="D274">
        <v>0</v>
      </c>
      <c r="E274">
        <v>645039.97</v>
      </c>
      <c r="G274" s="32">
        <v>246</v>
      </c>
      <c r="H274" s="33">
        <v>748854.40450110205</v>
      </c>
      <c r="I274" s="33">
        <v>1616.9354988979176</v>
      </c>
      <c r="J274" s="16"/>
      <c r="K274" s="16"/>
      <c r="L274" s="16"/>
      <c r="M274" s="16"/>
      <c r="N274" s="16"/>
      <c r="O274" s="29"/>
    </row>
    <row r="275" spans="1:15">
      <c r="A275">
        <v>17562.57</v>
      </c>
      <c r="B275">
        <v>3326</v>
      </c>
      <c r="C275">
        <v>88.1</v>
      </c>
      <c r="D275">
        <v>0</v>
      </c>
      <c r="E275">
        <v>561597.32999999996</v>
      </c>
      <c r="G275" s="32">
        <v>247</v>
      </c>
      <c r="H275" s="33">
        <v>719642.93319580122</v>
      </c>
      <c r="I275" s="33">
        <v>-40412.073195801233</v>
      </c>
      <c r="J275" s="16"/>
      <c r="K275" s="16"/>
      <c r="L275" s="16"/>
      <c r="M275" s="16"/>
      <c r="N275" s="16"/>
      <c r="O275" s="29"/>
    </row>
    <row r="276" spans="1:15">
      <c r="A276">
        <v>47648.71</v>
      </c>
      <c r="B276">
        <v>5767</v>
      </c>
      <c r="C276">
        <v>89.8</v>
      </c>
      <c r="D276">
        <v>0</v>
      </c>
      <c r="E276">
        <v>635837.74</v>
      </c>
      <c r="G276" s="32">
        <v>248</v>
      </c>
      <c r="H276" s="33">
        <v>698437.26694419701</v>
      </c>
      <c r="I276" s="33">
        <v>-18548.526944197016</v>
      </c>
      <c r="J276" s="16"/>
      <c r="K276" s="16"/>
      <c r="L276" s="16"/>
      <c r="M276" s="16"/>
      <c r="N276" s="16"/>
      <c r="O276" s="29"/>
    </row>
    <row r="277" spans="1:15">
      <c r="A277">
        <v>38297.58</v>
      </c>
      <c r="B277">
        <v>5893</v>
      </c>
      <c r="C277">
        <v>77.599999999999994</v>
      </c>
      <c r="D277">
        <v>0</v>
      </c>
      <c r="E277">
        <v>686737.87</v>
      </c>
      <c r="G277" s="32">
        <v>249</v>
      </c>
      <c r="H277" s="33">
        <v>594033.81647952471</v>
      </c>
      <c r="I277" s="33">
        <v>12749.853520475328</v>
      </c>
      <c r="J277" s="16"/>
      <c r="K277" s="16"/>
      <c r="L277" s="16"/>
      <c r="M277" s="16"/>
      <c r="N277" s="16"/>
      <c r="O277" s="29"/>
    </row>
    <row r="278" spans="1:15">
      <c r="A278">
        <v>61784.11</v>
      </c>
      <c r="B278">
        <v>8564</v>
      </c>
      <c r="C278">
        <v>87.4</v>
      </c>
      <c r="D278">
        <v>0</v>
      </c>
      <c r="E278">
        <v>673076.34</v>
      </c>
      <c r="G278" s="32">
        <v>250</v>
      </c>
      <c r="H278" s="33">
        <v>653498.12554854224</v>
      </c>
      <c r="I278" s="33">
        <v>-10746.705548542202</v>
      </c>
      <c r="J278" s="16"/>
      <c r="K278" s="16"/>
      <c r="L278" s="16"/>
      <c r="M278" s="16"/>
      <c r="N278" s="16"/>
      <c r="O278" s="29"/>
    </row>
    <row r="279" spans="1:15">
      <c r="A279">
        <v>36832.33</v>
      </c>
      <c r="B279">
        <v>8001</v>
      </c>
      <c r="C279">
        <v>88.7</v>
      </c>
      <c r="D279">
        <v>0</v>
      </c>
      <c r="E279">
        <v>738548.42</v>
      </c>
      <c r="G279" s="32">
        <v>251</v>
      </c>
      <c r="H279" s="33">
        <v>650870.03408509435</v>
      </c>
      <c r="I279" s="33">
        <v>-2916.2540850943187</v>
      </c>
      <c r="J279" s="16"/>
      <c r="K279" s="16"/>
      <c r="L279" s="16"/>
      <c r="M279" s="16"/>
      <c r="N279" s="16"/>
      <c r="O279" s="29"/>
    </row>
    <row r="280" spans="1:15">
      <c r="A280">
        <v>48609.41</v>
      </c>
      <c r="B280">
        <v>9324</v>
      </c>
      <c r="C280">
        <v>86.5</v>
      </c>
      <c r="D280">
        <v>0</v>
      </c>
      <c r="E280">
        <v>756619.77</v>
      </c>
      <c r="G280" s="32">
        <v>252</v>
      </c>
      <c r="H280" s="33">
        <v>710966.2935736248</v>
      </c>
      <c r="I280" s="33">
        <v>18474.15642637515</v>
      </c>
      <c r="J280" s="16"/>
      <c r="K280" s="16"/>
      <c r="L280" s="16"/>
      <c r="M280" s="16"/>
      <c r="N280" s="16"/>
      <c r="O280" s="29"/>
    </row>
    <row r="281" spans="1:15">
      <c r="A281">
        <v>70284.06</v>
      </c>
      <c r="B281">
        <v>9109</v>
      </c>
      <c r="C281">
        <v>87</v>
      </c>
      <c r="D281">
        <v>0</v>
      </c>
      <c r="E281">
        <v>761122.42</v>
      </c>
      <c r="G281" s="32">
        <v>253</v>
      </c>
      <c r="H281" s="33">
        <v>749496.95884007867</v>
      </c>
      <c r="I281" s="33">
        <v>15452.041159921326</v>
      </c>
      <c r="J281" s="16"/>
      <c r="K281" s="16"/>
      <c r="L281" s="16"/>
      <c r="M281" s="16"/>
      <c r="N281" s="16"/>
      <c r="O281" s="29"/>
    </row>
    <row r="282" spans="1:15">
      <c r="A282">
        <v>45940.39</v>
      </c>
      <c r="B282">
        <v>4022</v>
      </c>
      <c r="C282">
        <v>83</v>
      </c>
      <c r="D282">
        <v>0</v>
      </c>
      <c r="E282">
        <v>524899.56999999995</v>
      </c>
      <c r="G282" s="32">
        <v>254</v>
      </c>
      <c r="H282" s="33">
        <v>702766.23517534521</v>
      </c>
      <c r="I282" s="33">
        <v>96280.704824654735</v>
      </c>
      <c r="J282" s="16"/>
      <c r="K282" s="16"/>
      <c r="L282" s="16"/>
      <c r="M282" s="16"/>
      <c r="N282" s="16"/>
      <c r="O282" s="29"/>
    </row>
    <row r="283" spans="1:15">
      <c r="A283">
        <v>34771.26</v>
      </c>
      <c r="B283">
        <v>4355</v>
      </c>
      <c r="C283">
        <v>87.9</v>
      </c>
      <c r="D283">
        <v>0</v>
      </c>
      <c r="E283">
        <v>555557.77</v>
      </c>
      <c r="G283" s="32">
        <v>255</v>
      </c>
      <c r="H283" s="33">
        <v>671109.62469888851</v>
      </c>
      <c r="I283" s="33">
        <v>48969.915301111527</v>
      </c>
      <c r="J283" s="16"/>
      <c r="K283" s="16"/>
      <c r="L283" s="16"/>
      <c r="M283" s="16"/>
      <c r="N283" s="16"/>
      <c r="O283" s="29"/>
    </row>
    <row r="284" spans="1:15">
      <c r="A284">
        <v>66104.19</v>
      </c>
      <c r="B284">
        <v>5745</v>
      </c>
      <c r="C284">
        <v>95.8</v>
      </c>
      <c r="D284">
        <v>0</v>
      </c>
      <c r="E284">
        <v>714083.68</v>
      </c>
      <c r="G284" s="32">
        <v>256</v>
      </c>
      <c r="H284" s="33">
        <v>631158.54888690799</v>
      </c>
      <c r="I284" s="33">
        <v>-18768.408886907971</v>
      </c>
      <c r="J284" s="16"/>
      <c r="K284" s="16"/>
      <c r="L284" s="16"/>
      <c r="M284" s="16"/>
      <c r="N284" s="16"/>
      <c r="O284" s="29"/>
    </row>
    <row r="285" spans="1:15">
      <c r="A285">
        <v>18599.21</v>
      </c>
      <c r="B285">
        <v>3027</v>
      </c>
      <c r="C285">
        <v>80.900000000000006</v>
      </c>
      <c r="D285">
        <v>0</v>
      </c>
      <c r="E285">
        <v>497439.82</v>
      </c>
      <c r="G285" s="32">
        <v>257</v>
      </c>
      <c r="H285" s="33">
        <v>743846.3958708311</v>
      </c>
      <c r="I285" s="33">
        <v>96261.724129168899</v>
      </c>
      <c r="J285" s="16"/>
      <c r="K285" s="16"/>
      <c r="L285" s="16"/>
      <c r="M285" s="16"/>
      <c r="N285" s="16"/>
      <c r="O285" s="29"/>
    </row>
    <row r="286" spans="1:15">
      <c r="A286">
        <v>60183.06</v>
      </c>
      <c r="B286">
        <v>5562</v>
      </c>
      <c r="C286">
        <v>86.3</v>
      </c>
      <c r="D286">
        <v>0</v>
      </c>
      <c r="E286">
        <v>636775.66</v>
      </c>
      <c r="G286" s="32">
        <v>258</v>
      </c>
      <c r="H286" s="33">
        <v>665968.12926317076</v>
      </c>
      <c r="I286" s="33">
        <v>31919.960736829205</v>
      </c>
      <c r="J286" s="16"/>
      <c r="K286" s="16"/>
      <c r="L286" s="16"/>
      <c r="M286" s="16"/>
      <c r="N286" s="16"/>
      <c r="O286" s="29"/>
    </row>
    <row r="287" spans="1:15">
      <c r="A287">
        <v>74539.14</v>
      </c>
      <c r="B287">
        <v>4487</v>
      </c>
      <c r="C287">
        <v>90.4</v>
      </c>
      <c r="D287">
        <v>0</v>
      </c>
      <c r="E287">
        <v>633009.53</v>
      </c>
      <c r="G287" s="32">
        <v>259</v>
      </c>
      <c r="H287" s="33">
        <v>733947.6601257202</v>
      </c>
      <c r="I287" s="33">
        <v>12167.929874279769</v>
      </c>
      <c r="J287" s="16"/>
      <c r="K287" s="16"/>
      <c r="L287" s="16"/>
      <c r="M287" s="16"/>
      <c r="N287" s="16"/>
      <c r="O287" s="29"/>
    </row>
    <row r="288" spans="1:15">
      <c r="A288">
        <v>55371.97</v>
      </c>
      <c r="B288">
        <v>4162</v>
      </c>
      <c r="C288">
        <v>92</v>
      </c>
      <c r="D288">
        <v>0</v>
      </c>
      <c r="E288">
        <v>609949</v>
      </c>
      <c r="G288" s="32">
        <v>260</v>
      </c>
      <c r="H288" s="33">
        <v>714016.2028118358</v>
      </c>
      <c r="I288" s="33">
        <v>62094.117188164149</v>
      </c>
      <c r="J288" s="16"/>
      <c r="K288" s="16"/>
      <c r="L288" s="16"/>
      <c r="M288" s="16"/>
      <c r="N288" s="16"/>
      <c r="O288" s="29"/>
    </row>
    <row r="289" spans="1:15">
      <c r="A289">
        <v>40928.69</v>
      </c>
      <c r="B289">
        <v>4094</v>
      </c>
      <c r="C289">
        <v>82.4</v>
      </c>
      <c r="D289">
        <v>0</v>
      </c>
      <c r="E289">
        <v>548103.69999999995</v>
      </c>
      <c r="G289" s="32">
        <v>261</v>
      </c>
      <c r="H289" s="33">
        <v>519158.1235790716</v>
      </c>
      <c r="I289" s="33">
        <v>9694.4964209283935</v>
      </c>
      <c r="J289" s="16"/>
      <c r="K289" s="16"/>
      <c r="L289" s="16"/>
      <c r="M289" s="16"/>
      <c r="N289" s="16"/>
      <c r="O289" s="29"/>
    </row>
    <row r="290" spans="1:15">
      <c r="A290">
        <v>70012.41</v>
      </c>
      <c r="B290">
        <v>8484</v>
      </c>
      <c r="C290">
        <v>72.900000000000006</v>
      </c>
      <c r="D290">
        <v>0</v>
      </c>
      <c r="E290">
        <v>729424.42</v>
      </c>
      <c r="G290" s="32">
        <v>262</v>
      </c>
      <c r="H290" s="33">
        <v>602672.77579482109</v>
      </c>
      <c r="I290" s="33">
        <v>3078.5542051788652</v>
      </c>
      <c r="J290" s="16"/>
      <c r="K290" s="16"/>
      <c r="L290" s="16"/>
      <c r="M290" s="16"/>
      <c r="N290" s="16"/>
      <c r="O290" s="29"/>
    </row>
    <row r="291" spans="1:15">
      <c r="A291">
        <v>68909.259999999995</v>
      </c>
      <c r="B291">
        <v>7794</v>
      </c>
      <c r="C291">
        <v>89</v>
      </c>
      <c r="D291">
        <v>0</v>
      </c>
      <c r="E291">
        <v>696261.49</v>
      </c>
      <c r="G291" s="32">
        <v>263</v>
      </c>
      <c r="H291" s="33">
        <v>605754.89962490113</v>
      </c>
      <c r="I291" s="33">
        <v>71885.750375098898</v>
      </c>
      <c r="J291" s="16"/>
      <c r="K291" s="16"/>
      <c r="L291" s="16"/>
      <c r="M291" s="16"/>
      <c r="N291" s="16"/>
      <c r="O291" s="29"/>
    </row>
    <row r="292" spans="1:15">
      <c r="A292">
        <v>56737.3</v>
      </c>
      <c r="B292">
        <v>8300</v>
      </c>
      <c r="C292">
        <v>83.2</v>
      </c>
      <c r="D292">
        <v>0</v>
      </c>
      <c r="E292">
        <v>813316.71</v>
      </c>
      <c r="G292" s="32">
        <v>264</v>
      </c>
      <c r="H292" s="33">
        <v>614186.88316631049</v>
      </c>
      <c r="I292" s="33">
        <v>22426.346833689488</v>
      </c>
      <c r="J292" s="16"/>
      <c r="K292" s="16"/>
      <c r="L292" s="16"/>
      <c r="M292" s="16"/>
      <c r="N292" s="16"/>
      <c r="O292" s="29"/>
    </row>
    <row r="293" spans="1:15">
      <c r="A293">
        <v>54080.91</v>
      </c>
      <c r="B293">
        <v>7083</v>
      </c>
      <c r="C293">
        <v>97</v>
      </c>
      <c r="D293">
        <v>0</v>
      </c>
      <c r="E293">
        <v>702068.92</v>
      </c>
      <c r="G293" s="32">
        <v>265</v>
      </c>
      <c r="H293" s="33">
        <v>731530.97122780746</v>
      </c>
      <c r="I293" s="33">
        <v>-22545.781227807514</v>
      </c>
      <c r="J293" s="16"/>
      <c r="K293" s="16"/>
      <c r="L293" s="16"/>
      <c r="M293" s="16"/>
      <c r="N293" s="16"/>
      <c r="O293" s="29"/>
    </row>
    <row r="294" spans="1:15">
      <c r="A294">
        <v>51996.32</v>
      </c>
      <c r="B294">
        <v>3834</v>
      </c>
      <c r="C294">
        <v>86.7</v>
      </c>
      <c r="D294">
        <v>0</v>
      </c>
      <c r="E294">
        <v>546223.69999999995</v>
      </c>
      <c r="G294" s="32">
        <v>266</v>
      </c>
      <c r="H294" s="33">
        <v>744658.58447738108</v>
      </c>
      <c r="I294" s="33">
        <v>23134.355522618862</v>
      </c>
      <c r="J294" s="16"/>
      <c r="K294" s="16"/>
      <c r="L294" s="16"/>
      <c r="M294" s="16"/>
      <c r="N294" s="16"/>
      <c r="O294" s="29"/>
    </row>
    <row r="295" spans="1:15">
      <c r="A295">
        <v>40102.879999999997</v>
      </c>
      <c r="B295">
        <v>2358</v>
      </c>
      <c r="C295">
        <v>88.7</v>
      </c>
      <c r="D295">
        <v>0</v>
      </c>
      <c r="E295">
        <v>533121.26</v>
      </c>
      <c r="G295" s="32">
        <v>267</v>
      </c>
      <c r="H295" s="33">
        <v>728508.86308595969</v>
      </c>
      <c r="I295" s="33">
        <v>17071.646914040321</v>
      </c>
      <c r="J295" s="16"/>
      <c r="K295" s="16"/>
      <c r="L295" s="16"/>
      <c r="M295" s="16"/>
      <c r="N295" s="16"/>
      <c r="O295" s="29"/>
    </row>
    <row r="296" spans="1:15">
      <c r="A296">
        <v>59825.51</v>
      </c>
      <c r="B296">
        <v>1231</v>
      </c>
      <c r="C296">
        <v>84.8</v>
      </c>
      <c r="D296">
        <v>0</v>
      </c>
      <c r="E296">
        <v>498970.32</v>
      </c>
      <c r="G296" s="32">
        <v>268</v>
      </c>
      <c r="H296" s="33">
        <v>730507.16093660542</v>
      </c>
      <c r="I296" s="33">
        <v>31821.149063394638</v>
      </c>
      <c r="J296" s="16"/>
      <c r="K296" s="16"/>
      <c r="L296" s="16"/>
      <c r="M296" s="16"/>
      <c r="N296" s="16"/>
      <c r="O296" s="29"/>
    </row>
    <row r="297" spans="1:15">
      <c r="A297">
        <v>27398.28</v>
      </c>
      <c r="B297">
        <v>1723</v>
      </c>
      <c r="C297">
        <v>81</v>
      </c>
      <c r="D297">
        <v>0</v>
      </c>
      <c r="E297">
        <v>487738.26</v>
      </c>
      <c r="G297" s="32">
        <v>269</v>
      </c>
      <c r="H297" s="33">
        <v>741367.95189930568</v>
      </c>
      <c r="I297" s="33">
        <v>-80733.961899305694</v>
      </c>
      <c r="J297" s="16"/>
      <c r="K297" s="16"/>
      <c r="L297" s="16"/>
      <c r="M297" s="16"/>
      <c r="N297" s="16"/>
      <c r="O297" s="29"/>
    </row>
    <row r="298" spans="1:15">
      <c r="A298">
        <v>55599.56</v>
      </c>
      <c r="B298">
        <v>5896</v>
      </c>
      <c r="C298">
        <v>93.1</v>
      </c>
      <c r="D298">
        <v>0</v>
      </c>
      <c r="E298">
        <v>668459.37</v>
      </c>
      <c r="G298" s="32">
        <v>270</v>
      </c>
      <c r="H298" s="33">
        <v>693742.30081336014</v>
      </c>
      <c r="I298" s="33">
        <v>45632.259186639916</v>
      </c>
      <c r="J298" s="16"/>
      <c r="K298" s="16"/>
      <c r="L298" s="16"/>
      <c r="M298" s="16"/>
      <c r="N298" s="16"/>
      <c r="O298" s="29"/>
    </row>
    <row r="299" spans="1:15">
      <c r="A299">
        <v>55477.61</v>
      </c>
      <c r="B299">
        <v>5903</v>
      </c>
      <c r="C299">
        <v>96.2</v>
      </c>
      <c r="D299">
        <v>0</v>
      </c>
      <c r="E299">
        <v>763162.45</v>
      </c>
      <c r="G299" s="32">
        <v>271</v>
      </c>
      <c r="H299" s="33">
        <v>807636.57126904186</v>
      </c>
      <c r="I299" s="33">
        <v>-7880.1112690418959</v>
      </c>
      <c r="J299" s="16"/>
      <c r="K299" s="16"/>
      <c r="L299" s="16"/>
      <c r="M299" s="16"/>
      <c r="N299" s="16"/>
      <c r="O299" s="29"/>
    </row>
    <row r="300" spans="1:15">
      <c r="A300">
        <v>46174.7</v>
      </c>
      <c r="B300">
        <v>4898</v>
      </c>
      <c r="C300">
        <v>91.7</v>
      </c>
      <c r="D300">
        <v>0</v>
      </c>
      <c r="E300">
        <v>599017.32999999996</v>
      </c>
      <c r="G300" s="32">
        <v>272</v>
      </c>
      <c r="H300" s="33">
        <v>672688.87786673824</v>
      </c>
      <c r="I300" s="33">
        <v>-79345.877866738243</v>
      </c>
      <c r="J300" s="16"/>
      <c r="K300" s="16"/>
      <c r="L300" s="16"/>
      <c r="M300" s="16"/>
      <c r="N300" s="16"/>
      <c r="O300" s="29"/>
    </row>
    <row r="301" spans="1:15">
      <c r="A301">
        <v>24362.98</v>
      </c>
      <c r="B301">
        <v>1462</v>
      </c>
      <c r="C301">
        <v>89.3</v>
      </c>
      <c r="D301">
        <v>0</v>
      </c>
      <c r="E301">
        <v>401582.58</v>
      </c>
      <c r="G301" s="32">
        <v>273</v>
      </c>
      <c r="H301" s="33">
        <v>636722.21045769774</v>
      </c>
      <c r="I301" s="33">
        <v>8317.7595423022285</v>
      </c>
      <c r="J301" s="16"/>
      <c r="K301" s="16"/>
      <c r="L301" s="16"/>
      <c r="M301" s="16"/>
      <c r="N301" s="16"/>
      <c r="O301" s="29"/>
    </row>
    <row r="302" spans="1:15">
      <c r="A302">
        <v>40647.67</v>
      </c>
      <c r="B302">
        <v>8252</v>
      </c>
      <c r="C302">
        <v>88.2</v>
      </c>
      <c r="D302">
        <v>1</v>
      </c>
      <c r="E302">
        <v>703812.99</v>
      </c>
      <c r="G302" s="32">
        <v>274</v>
      </c>
      <c r="H302" s="33">
        <v>525696.66293516546</v>
      </c>
      <c r="I302" s="33">
        <v>35900.667064834503</v>
      </c>
      <c r="J302" s="16"/>
      <c r="K302" s="16"/>
      <c r="L302" s="16"/>
      <c r="M302" s="16"/>
      <c r="N302" s="16"/>
      <c r="O302" s="29"/>
    </row>
    <row r="303" spans="1:15">
      <c r="A303">
        <v>63986.98</v>
      </c>
      <c r="B303">
        <v>7989</v>
      </c>
      <c r="C303">
        <v>83.3</v>
      </c>
      <c r="D303">
        <v>1</v>
      </c>
      <c r="E303">
        <v>724346.73</v>
      </c>
      <c r="G303" s="32">
        <v>275</v>
      </c>
      <c r="H303" s="33">
        <v>648237.69494931353</v>
      </c>
      <c r="I303" s="33">
        <v>-12399.954949313542</v>
      </c>
      <c r="J303" s="16"/>
      <c r="K303" s="16"/>
      <c r="L303" s="16"/>
      <c r="M303" s="16"/>
      <c r="N303" s="16"/>
      <c r="O303" s="29"/>
    </row>
    <row r="304" spans="1:15">
      <c r="A304">
        <v>52843.75</v>
      </c>
      <c r="B304">
        <v>8268</v>
      </c>
      <c r="C304">
        <v>87.3</v>
      </c>
      <c r="D304">
        <v>1</v>
      </c>
      <c r="E304">
        <v>730890.01</v>
      </c>
      <c r="G304" s="32">
        <v>276</v>
      </c>
      <c r="H304" s="33">
        <v>605796.82274612703</v>
      </c>
      <c r="I304" s="33">
        <v>80941.047253872966</v>
      </c>
      <c r="J304" s="16"/>
      <c r="K304" s="16"/>
      <c r="L304" s="16"/>
      <c r="M304" s="16"/>
      <c r="N304" s="16"/>
      <c r="O304" s="29"/>
    </row>
    <row r="305" spans="1:15">
      <c r="A305">
        <v>31997.25</v>
      </c>
      <c r="B305">
        <v>8183</v>
      </c>
      <c r="C305">
        <v>93</v>
      </c>
      <c r="D305">
        <v>1</v>
      </c>
      <c r="E305">
        <v>780580.95</v>
      </c>
      <c r="G305" s="32">
        <v>277</v>
      </c>
      <c r="H305" s="33">
        <v>752002.59046360594</v>
      </c>
      <c r="I305" s="33">
        <v>-78926.250463605975</v>
      </c>
      <c r="J305" s="16"/>
      <c r="K305" s="16"/>
      <c r="L305" s="16"/>
      <c r="M305" s="16"/>
      <c r="N305" s="16"/>
      <c r="O305" s="29"/>
    </row>
    <row r="306" spans="1:15">
      <c r="A306">
        <v>54948.02</v>
      </c>
      <c r="B306">
        <v>6534</v>
      </c>
      <c r="C306">
        <v>94.5</v>
      </c>
      <c r="D306">
        <v>0</v>
      </c>
      <c r="E306">
        <v>727957.48</v>
      </c>
      <c r="G306" s="32">
        <v>278</v>
      </c>
      <c r="H306" s="33">
        <v>707492.49881258293</v>
      </c>
      <c r="I306" s="33">
        <v>31055.921187417116</v>
      </c>
      <c r="J306" s="16"/>
      <c r="K306" s="16"/>
      <c r="L306" s="16"/>
      <c r="M306" s="16"/>
      <c r="N306" s="16"/>
      <c r="O306" s="29"/>
    </row>
    <row r="307" spans="1:15">
      <c r="A307">
        <v>46146.239999999998</v>
      </c>
      <c r="B307">
        <v>5804</v>
      </c>
      <c r="C307">
        <v>86.9</v>
      </c>
      <c r="D307">
        <v>0</v>
      </c>
      <c r="E307">
        <v>538376</v>
      </c>
      <c r="G307" s="32">
        <v>279</v>
      </c>
      <c r="H307" s="33">
        <v>759450.53153561684</v>
      </c>
      <c r="I307" s="33">
        <v>-2830.7615356168244</v>
      </c>
      <c r="J307" s="16"/>
      <c r="K307" s="16"/>
      <c r="L307" s="16"/>
      <c r="M307" s="16"/>
      <c r="N307" s="16"/>
      <c r="O307" s="29"/>
    </row>
    <row r="308" spans="1:15">
      <c r="A308">
        <v>22387.26</v>
      </c>
      <c r="B308">
        <v>6301</v>
      </c>
      <c r="C308">
        <v>85.9</v>
      </c>
      <c r="D308">
        <v>0</v>
      </c>
      <c r="E308">
        <v>665342.49</v>
      </c>
      <c r="G308" s="32">
        <v>280</v>
      </c>
      <c r="H308" s="33">
        <v>779180.04121556075</v>
      </c>
      <c r="I308" s="33">
        <v>-18057.621215560706</v>
      </c>
      <c r="J308" s="16"/>
      <c r="K308" s="16"/>
      <c r="L308" s="16"/>
      <c r="M308" s="16"/>
      <c r="N308" s="16"/>
      <c r="O308" s="29"/>
    </row>
    <row r="309" spans="1:15">
      <c r="A309">
        <v>60684.05</v>
      </c>
      <c r="B309">
        <v>6399</v>
      </c>
      <c r="C309">
        <v>99</v>
      </c>
      <c r="D309">
        <v>0</v>
      </c>
      <c r="E309">
        <v>651164.18000000005</v>
      </c>
      <c r="G309" s="32">
        <v>281</v>
      </c>
      <c r="H309" s="33">
        <v>567602.04853983014</v>
      </c>
      <c r="I309" s="33">
        <v>-42702.47853983019</v>
      </c>
      <c r="J309" s="16"/>
      <c r="K309" s="16"/>
      <c r="L309" s="16"/>
      <c r="M309" s="16"/>
      <c r="N309" s="16"/>
      <c r="O309" s="29"/>
    </row>
    <row r="310" spans="1:15">
      <c r="A310">
        <v>48465.599999999999</v>
      </c>
      <c r="B310">
        <v>5759</v>
      </c>
      <c r="C310">
        <v>87.5</v>
      </c>
      <c r="D310">
        <v>0</v>
      </c>
      <c r="E310">
        <v>628538.30000000005</v>
      </c>
      <c r="G310" s="32">
        <v>282</v>
      </c>
      <c r="H310" s="33">
        <v>579998.60158086312</v>
      </c>
      <c r="I310" s="33">
        <v>-24440.831580863101</v>
      </c>
      <c r="J310" s="16"/>
      <c r="K310" s="16"/>
      <c r="L310" s="16"/>
      <c r="M310" s="16"/>
      <c r="N310" s="16"/>
      <c r="O310" s="29"/>
    </row>
    <row r="311" spans="1:15">
      <c r="A311">
        <v>23702.38</v>
      </c>
      <c r="B311">
        <v>5285</v>
      </c>
      <c r="C311">
        <v>79.7</v>
      </c>
      <c r="D311">
        <v>0</v>
      </c>
      <c r="E311">
        <v>536524.84</v>
      </c>
      <c r="G311" s="32">
        <v>283</v>
      </c>
      <c r="H311" s="33">
        <v>686760.54537984799</v>
      </c>
      <c r="I311" s="33">
        <v>27323.134620152065</v>
      </c>
      <c r="J311" s="16"/>
      <c r="K311" s="16"/>
      <c r="L311" s="16"/>
      <c r="M311" s="16"/>
      <c r="N311" s="16"/>
      <c r="O311" s="29"/>
    </row>
    <row r="312" spans="1:15">
      <c r="A312">
        <v>54322.94</v>
      </c>
      <c r="B312">
        <v>5434</v>
      </c>
      <c r="C312">
        <v>85.7</v>
      </c>
      <c r="D312">
        <v>0</v>
      </c>
      <c r="E312">
        <v>621677.30000000005</v>
      </c>
      <c r="G312" s="32">
        <v>284</v>
      </c>
      <c r="H312" s="33">
        <v>495795.42253693007</v>
      </c>
      <c r="I312" s="33">
        <v>1644.3974630699377</v>
      </c>
      <c r="J312" s="16"/>
      <c r="K312" s="16"/>
      <c r="L312" s="16"/>
      <c r="M312" s="16"/>
      <c r="N312" s="16"/>
      <c r="O312" s="29"/>
    </row>
    <row r="313" spans="1:15">
      <c r="A313">
        <v>86026.58</v>
      </c>
      <c r="B313">
        <v>7479</v>
      </c>
      <c r="C313">
        <v>89</v>
      </c>
      <c r="D313">
        <v>0</v>
      </c>
      <c r="E313">
        <v>771129.07</v>
      </c>
      <c r="G313" s="32">
        <v>285</v>
      </c>
      <c r="H313" s="33">
        <v>645850.51886367239</v>
      </c>
      <c r="I313" s="33">
        <v>-9074.858863672358</v>
      </c>
      <c r="J313" s="16"/>
      <c r="K313" s="16"/>
      <c r="L313" s="16"/>
      <c r="M313" s="16"/>
      <c r="N313" s="16"/>
      <c r="O313" s="29"/>
    </row>
    <row r="314" spans="1:15">
      <c r="A314">
        <v>78967.520000000004</v>
      </c>
      <c r="B314">
        <v>6164</v>
      </c>
      <c r="C314">
        <v>85.5</v>
      </c>
      <c r="D314">
        <v>1</v>
      </c>
      <c r="E314">
        <v>702052.47</v>
      </c>
      <c r="G314" s="32">
        <v>286</v>
      </c>
      <c r="H314" s="33">
        <v>638547.76163508208</v>
      </c>
      <c r="I314" s="33">
        <v>-5538.2316350820474</v>
      </c>
      <c r="J314" s="16"/>
      <c r="K314" s="16"/>
      <c r="L314" s="16"/>
      <c r="M314" s="16"/>
      <c r="N314" s="16"/>
      <c r="O314" s="29"/>
    </row>
    <row r="315" spans="1:15">
      <c r="A315">
        <v>46767.99</v>
      </c>
      <c r="B315">
        <v>7973</v>
      </c>
      <c r="C315">
        <v>94.8</v>
      </c>
      <c r="D315">
        <v>1</v>
      </c>
      <c r="E315">
        <v>688368.46</v>
      </c>
      <c r="G315" s="32">
        <v>287</v>
      </c>
      <c r="H315" s="33">
        <v>609733.12223549723</v>
      </c>
      <c r="I315" s="33">
        <v>215.87776450277306</v>
      </c>
      <c r="J315" s="16"/>
      <c r="K315" s="16"/>
      <c r="L315" s="16"/>
      <c r="M315" s="16"/>
      <c r="N315" s="16"/>
      <c r="O315" s="29"/>
    </row>
    <row r="316" spans="1:15">
      <c r="A316">
        <v>62507.16</v>
      </c>
      <c r="B316">
        <v>6000</v>
      </c>
      <c r="C316">
        <v>98.2</v>
      </c>
      <c r="D316">
        <v>1</v>
      </c>
      <c r="E316">
        <v>712375.77</v>
      </c>
      <c r="G316" s="32">
        <v>288</v>
      </c>
      <c r="H316" s="33">
        <v>562373.72768892336</v>
      </c>
      <c r="I316" s="33">
        <v>-14270.027688923408</v>
      </c>
      <c r="J316" s="16"/>
      <c r="K316" s="16"/>
      <c r="L316" s="16"/>
      <c r="M316" s="16"/>
      <c r="N316" s="16"/>
      <c r="O316" s="29"/>
    </row>
    <row r="317" spans="1:15">
      <c r="A317">
        <v>66456.28</v>
      </c>
      <c r="B317">
        <v>9967</v>
      </c>
      <c r="C317">
        <v>94.7</v>
      </c>
      <c r="D317">
        <v>1</v>
      </c>
      <c r="E317">
        <v>844710.67</v>
      </c>
      <c r="G317" s="32">
        <v>289</v>
      </c>
      <c r="H317" s="33">
        <v>716586.78619282984</v>
      </c>
      <c r="I317" s="33">
        <v>12837.633807170205</v>
      </c>
      <c r="J317" s="16"/>
      <c r="K317" s="16"/>
      <c r="L317" s="16"/>
      <c r="M317" s="16"/>
      <c r="N317" s="16"/>
      <c r="O317" s="29"/>
    </row>
    <row r="318" spans="1:15">
      <c r="A318">
        <v>76614.320000000007</v>
      </c>
      <c r="B318">
        <v>5639</v>
      </c>
      <c r="C318">
        <v>92.9</v>
      </c>
      <c r="D318">
        <v>0</v>
      </c>
      <c r="E318">
        <v>620264.19999999995</v>
      </c>
      <c r="G318" s="32">
        <v>290</v>
      </c>
      <c r="H318" s="33">
        <v>739146.70678075682</v>
      </c>
      <c r="I318" s="33">
        <v>-42885.216780756833</v>
      </c>
      <c r="J318" s="16"/>
      <c r="K318" s="16"/>
      <c r="L318" s="16"/>
      <c r="M318" s="16"/>
      <c r="N318" s="16"/>
      <c r="O318" s="29"/>
    </row>
    <row r="319" spans="1:15">
      <c r="A319">
        <v>24088.06</v>
      </c>
      <c r="B319">
        <v>3466</v>
      </c>
      <c r="C319">
        <v>88</v>
      </c>
      <c r="D319">
        <v>0</v>
      </c>
      <c r="E319">
        <v>536845.42000000004</v>
      </c>
      <c r="G319" s="32">
        <v>291</v>
      </c>
      <c r="H319" s="33">
        <v>724894.60116034409</v>
      </c>
      <c r="I319" s="33">
        <v>88422.108839655877</v>
      </c>
      <c r="J319" s="16"/>
      <c r="K319" s="16"/>
      <c r="L319" s="16"/>
      <c r="M319" s="16"/>
      <c r="N319" s="16"/>
      <c r="O319" s="29"/>
    </row>
    <row r="320" spans="1:15">
      <c r="A320">
        <v>81902.58</v>
      </c>
      <c r="B320">
        <v>7775</v>
      </c>
      <c r="C320">
        <v>85.2</v>
      </c>
      <c r="D320">
        <v>0</v>
      </c>
      <c r="E320">
        <v>726776.22</v>
      </c>
      <c r="G320" s="32">
        <v>292</v>
      </c>
      <c r="H320" s="33">
        <v>721161.0083040013</v>
      </c>
      <c r="I320" s="33">
        <v>-19092.088304001256</v>
      </c>
      <c r="J320" s="16"/>
      <c r="K320" s="16"/>
      <c r="L320" s="16"/>
      <c r="M320" s="16"/>
      <c r="N320" s="16"/>
      <c r="O320" s="29"/>
    </row>
    <row r="321" spans="1:15">
      <c r="A321">
        <v>40553.11</v>
      </c>
      <c r="B321">
        <v>5317</v>
      </c>
      <c r="C321">
        <v>84.3</v>
      </c>
      <c r="D321">
        <v>0</v>
      </c>
      <c r="E321">
        <v>559660.84</v>
      </c>
      <c r="G321" s="32">
        <v>293</v>
      </c>
      <c r="H321" s="33">
        <v>579220.31694224069</v>
      </c>
      <c r="I321" s="33">
        <v>-32996.61694224074</v>
      </c>
      <c r="J321" s="16"/>
      <c r="K321" s="16"/>
      <c r="L321" s="16"/>
      <c r="M321" s="16"/>
      <c r="N321" s="16"/>
      <c r="O321" s="29"/>
    </row>
    <row r="322" spans="1:15">
      <c r="G322" s="32">
        <v>294</v>
      </c>
      <c r="H322" s="33">
        <v>521390.28910031472</v>
      </c>
      <c r="I322" s="33">
        <v>11730.970899685286</v>
      </c>
      <c r="J322" s="16"/>
      <c r="K322" s="16"/>
      <c r="L322" s="16"/>
      <c r="M322" s="16"/>
      <c r="N322" s="16"/>
      <c r="O322" s="29"/>
    </row>
    <row r="323" spans="1:15">
      <c r="G323" s="32">
        <v>295</v>
      </c>
      <c r="H323" s="33">
        <v>495256.01942415745</v>
      </c>
      <c r="I323" s="33">
        <v>3714.300575842557</v>
      </c>
      <c r="J323" s="16"/>
      <c r="K323" s="16"/>
      <c r="L323" s="16"/>
      <c r="M323" s="16"/>
      <c r="N323" s="16"/>
      <c r="O323" s="29"/>
    </row>
    <row r="324" spans="1:15">
      <c r="G324" s="32">
        <v>296</v>
      </c>
      <c r="H324" s="33">
        <v>462547.36942594603</v>
      </c>
      <c r="I324" s="33">
        <v>25190.890574053978</v>
      </c>
      <c r="J324" s="16"/>
      <c r="K324" s="16"/>
      <c r="L324" s="16"/>
      <c r="M324" s="16"/>
      <c r="N324" s="16"/>
      <c r="O324" s="29"/>
    </row>
    <row r="325" spans="1:15">
      <c r="G325" s="32">
        <v>297</v>
      </c>
      <c r="H325" s="33">
        <v>671586.53784318292</v>
      </c>
      <c r="I325" s="33">
        <v>-3127.1678431829205</v>
      </c>
      <c r="J325" s="16"/>
      <c r="K325" s="16"/>
      <c r="L325" s="16"/>
      <c r="M325" s="16"/>
      <c r="N325" s="16"/>
      <c r="O325" s="29"/>
    </row>
    <row r="326" spans="1:15">
      <c r="G326" s="32">
        <v>298</v>
      </c>
      <c r="H326" s="33">
        <v>680744.58619886835</v>
      </c>
      <c r="I326" s="33">
        <v>82417.863801131607</v>
      </c>
      <c r="J326" s="16"/>
      <c r="K326" s="16"/>
      <c r="L326" s="16"/>
      <c r="M326" s="16"/>
      <c r="N326" s="16"/>
      <c r="O326" s="29"/>
    </row>
    <row r="327" spans="1:15">
      <c r="G327" s="32">
        <v>299</v>
      </c>
      <c r="H327" s="33">
        <v>622808.10613950563</v>
      </c>
      <c r="I327" s="33">
        <v>-23790.776139505673</v>
      </c>
      <c r="J327" s="16"/>
      <c r="K327" s="16"/>
      <c r="L327" s="16"/>
      <c r="M327" s="16"/>
      <c r="N327" s="16"/>
      <c r="O327" s="29"/>
    </row>
    <row r="328" spans="1:15">
      <c r="G328" s="32">
        <v>300</v>
      </c>
      <c r="H328" s="33">
        <v>474463.41467007459</v>
      </c>
      <c r="I328" s="33">
        <v>-72880.834670074575</v>
      </c>
      <c r="J328" s="16"/>
      <c r="K328" s="16"/>
      <c r="L328" s="16"/>
      <c r="M328" s="16"/>
      <c r="N328" s="16"/>
      <c r="O328" s="29"/>
    </row>
    <row r="329" spans="1:15">
      <c r="G329" s="32">
        <v>301</v>
      </c>
      <c r="H329" s="33">
        <v>717941.03969916084</v>
      </c>
      <c r="I329" s="33">
        <v>-14128.049699160852</v>
      </c>
      <c r="J329" s="16"/>
      <c r="K329" s="16"/>
      <c r="L329" s="16"/>
      <c r="M329" s="16"/>
      <c r="N329" s="16"/>
      <c r="O329" s="29"/>
    </row>
    <row r="330" spans="1:15">
      <c r="G330" s="32">
        <v>302</v>
      </c>
      <c r="H330" s="33">
        <v>722221.36092807248</v>
      </c>
      <c r="I330" s="33">
        <v>2125.3690719275037</v>
      </c>
      <c r="J330" s="16"/>
      <c r="K330" s="16"/>
      <c r="L330" s="16"/>
      <c r="M330" s="16"/>
      <c r="N330" s="16"/>
      <c r="O330" s="29"/>
    </row>
    <row r="331" spans="1:15">
      <c r="G331" s="32">
        <v>303</v>
      </c>
      <c r="H331" s="33">
        <v>730198.64031911723</v>
      </c>
      <c r="I331" s="33">
        <v>691.36968088278081</v>
      </c>
      <c r="J331" s="16"/>
      <c r="K331" s="16"/>
      <c r="L331" s="16"/>
      <c r="M331" s="16"/>
      <c r="N331" s="16"/>
      <c r="O331" s="29"/>
    </row>
    <row r="332" spans="1:15">
      <c r="G332" s="32">
        <v>304</v>
      </c>
      <c r="H332" s="33">
        <v>719477.05829029542</v>
      </c>
      <c r="I332" s="33">
        <v>61103.891709704534</v>
      </c>
      <c r="J332" s="16"/>
      <c r="K332" s="16"/>
      <c r="L332" s="16"/>
      <c r="M332" s="16"/>
      <c r="N332" s="16"/>
      <c r="O332" s="29"/>
    </row>
    <row r="333" spans="1:15">
      <c r="G333" s="32">
        <v>305</v>
      </c>
      <c r="H333" s="33">
        <v>696390.06121962215</v>
      </c>
      <c r="I333" s="33">
        <v>31567.418780377833</v>
      </c>
      <c r="J333" s="16"/>
      <c r="K333" s="16"/>
      <c r="L333" s="16"/>
      <c r="M333" s="16"/>
      <c r="N333" s="16"/>
      <c r="O333" s="29"/>
    </row>
    <row r="334" spans="1:15">
      <c r="G334" s="32">
        <v>306</v>
      </c>
      <c r="H334" s="33">
        <v>639234.19503816718</v>
      </c>
      <c r="I334" s="33">
        <v>-100858.19503816718</v>
      </c>
      <c r="J334" s="16"/>
      <c r="K334" s="16"/>
      <c r="L334" s="16"/>
      <c r="M334" s="16"/>
      <c r="N334" s="16"/>
      <c r="O334" s="29"/>
    </row>
    <row r="335" spans="1:15">
      <c r="G335" s="32">
        <v>307</v>
      </c>
      <c r="H335" s="33">
        <v>625082.30415943835</v>
      </c>
      <c r="I335" s="33">
        <v>40260.185840561637</v>
      </c>
      <c r="J335" s="16"/>
      <c r="K335" s="16"/>
      <c r="L335" s="16"/>
      <c r="M335" s="16"/>
      <c r="N335" s="16"/>
      <c r="O335" s="29"/>
    </row>
    <row r="336" spans="1:15">
      <c r="G336" s="32">
        <v>308</v>
      </c>
      <c r="H336" s="33">
        <v>711755.54485208134</v>
      </c>
      <c r="I336" s="33">
        <v>-60591.364852081286</v>
      </c>
      <c r="J336" s="16"/>
      <c r="K336" s="16"/>
      <c r="L336" s="16"/>
      <c r="M336" s="16"/>
      <c r="N336" s="16"/>
      <c r="O336" s="29"/>
    </row>
    <row r="337" spans="7:15">
      <c r="G337" s="32">
        <v>309</v>
      </c>
      <c r="H337" s="33">
        <v>642203.30894028663</v>
      </c>
      <c r="I337" s="33">
        <v>-13665.008940286585</v>
      </c>
      <c r="J337" s="16"/>
      <c r="K337" s="16"/>
      <c r="L337" s="16"/>
      <c r="M337" s="16"/>
      <c r="N337" s="16"/>
      <c r="O337" s="29"/>
    </row>
    <row r="338" spans="7:15">
      <c r="G338" s="32">
        <v>310</v>
      </c>
      <c r="H338" s="33">
        <v>574298.09561291942</v>
      </c>
      <c r="I338" s="33">
        <v>-37773.255612919456</v>
      </c>
      <c r="J338" s="16"/>
      <c r="K338" s="16"/>
      <c r="L338" s="16"/>
      <c r="M338" s="16"/>
      <c r="N338" s="16"/>
      <c r="O338" s="29"/>
    </row>
    <row r="339" spans="7:15">
      <c r="G339" s="32">
        <v>311</v>
      </c>
      <c r="H339" s="33">
        <v>632891.60925559571</v>
      </c>
      <c r="I339" s="33">
        <v>-11214.309255595668</v>
      </c>
      <c r="J339" s="16"/>
      <c r="K339" s="16"/>
      <c r="L339" s="16"/>
      <c r="M339" s="16"/>
      <c r="N339" s="16"/>
      <c r="O339" s="29"/>
    </row>
    <row r="340" spans="7:15">
      <c r="G340" s="32">
        <v>312</v>
      </c>
      <c r="H340" s="33">
        <v>748685.25771231973</v>
      </c>
      <c r="I340" s="33">
        <v>22443.812287680223</v>
      </c>
      <c r="J340" s="16"/>
      <c r="K340" s="16"/>
      <c r="L340" s="16"/>
      <c r="M340" s="16"/>
      <c r="N340" s="16"/>
      <c r="O340" s="29"/>
    </row>
    <row r="341" spans="7:15">
      <c r="G341" s="32">
        <v>313</v>
      </c>
      <c r="H341" s="33">
        <v>684850.90646801412</v>
      </c>
      <c r="I341" s="33">
        <v>17201.563531985856</v>
      </c>
      <c r="J341" s="16"/>
      <c r="K341" s="16"/>
      <c r="L341" s="16"/>
      <c r="M341" s="16"/>
      <c r="N341" s="16"/>
      <c r="O341" s="29"/>
    </row>
    <row r="342" spans="7:15">
      <c r="G342" s="32">
        <v>314</v>
      </c>
      <c r="H342" s="33">
        <v>735052.91760750441</v>
      </c>
      <c r="I342" s="33">
        <v>-46684.457607504446</v>
      </c>
      <c r="J342" s="16"/>
      <c r="K342" s="16"/>
      <c r="L342" s="16"/>
      <c r="M342" s="16"/>
      <c r="N342" s="16"/>
      <c r="O342" s="29"/>
    </row>
    <row r="343" spans="7:15">
      <c r="G343" s="32">
        <v>315</v>
      </c>
      <c r="H343" s="33">
        <v>697102.65561000945</v>
      </c>
      <c r="I343" s="33">
        <v>15273.114389990573</v>
      </c>
      <c r="J343" s="16"/>
      <c r="K343" s="16"/>
      <c r="L343" s="16"/>
      <c r="M343" s="16"/>
      <c r="N343" s="16"/>
      <c r="O343" s="29"/>
    </row>
    <row r="344" spans="7:15">
      <c r="G344" s="32">
        <v>316</v>
      </c>
      <c r="H344" s="33">
        <v>825048.17981209478</v>
      </c>
      <c r="I344" s="33">
        <v>19662.490187905263</v>
      </c>
      <c r="J344" s="16"/>
      <c r="K344" s="16"/>
      <c r="L344" s="16"/>
      <c r="M344" s="16"/>
      <c r="N344" s="16"/>
      <c r="O344" s="29"/>
    </row>
    <row r="345" spans="7:15">
      <c r="G345" s="32">
        <v>317</v>
      </c>
      <c r="H345" s="33">
        <v>687078.64188010665</v>
      </c>
      <c r="I345" s="33">
        <v>-66814.441880106693</v>
      </c>
      <c r="J345" s="16"/>
      <c r="K345" s="16"/>
      <c r="L345" s="16"/>
      <c r="M345" s="16"/>
      <c r="N345" s="16"/>
      <c r="O345" s="29"/>
    </row>
    <row r="346" spans="7:15">
      <c r="G346" s="32">
        <v>318</v>
      </c>
      <c r="H346" s="33">
        <v>537795.3026296969</v>
      </c>
      <c r="I346" s="33">
        <v>-949.88262969686184</v>
      </c>
      <c r="J346" s="16"/>
      <c r="K346" s="16"/>
      <c r="L346" s="16"/>
      <c r="M346" s="16"/>
      <c r="N346" s="16"/>
      <c r="O346" s="29"/>
    </row>
    <row r="347" spans="7:15">
      <c r="G347" s="32">
        <v>319</v>
      </c>
      <c r="H347" s="33">
        <v>742683.25091066596</v>
      </c>
      <c r="I347" s="33">
        <v>-15907.030910665984</v>
      </c>
      <c r="J347" s="16"/>
      <c r="K347" s="16"/>
      <c r="L347" s="16"/>
      <c r="M347" s="16"/>
      <c r="N347" s="16"/>
      <c r="O347" s="29"/>
    </row>
    <row r="348" spans="7:15">
      <c r="G348" s="39">
        <v>320</v>
      </c>
      <c r="H348" s="40">
        <v>608656.06985894428</v>
      </c>
      <c r="I348" s="40">
        <v>-48995.229858944309</v>
      </c>
      <c r="J348" s="41"/>
      <c r="K348" s="41"/>
      <c r="L348" s="41"/>
      <c r="M348" s="41"/>
      <c r="N348" s="41"/>
      <c r="O348" s="1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EC48-AF38-4AC1-BB38-F84F99652BA7}">
  <dimension ref="A1:F9"/>
  <sheetViews>
    <sheetView workbookViewId="0">
      <selection activeCell="C8" sqref="C8"/>
    </sheetView>
  </sheetViews>
  <sheetFormatPr defaultRowHeight="14.4"/>
  <cols>
    <col min="1" max="1" width="19.33203125" customWidth="1"/>
    <col min="2" max="2" width="24.21875" customWidth="1"/>
    <col min="3" max="3" width="23" customWidth="1"/>
  </cols>
  <sheetData>
    <row r="1" spans="1:6" ht="28.8">
      <c r="A1" s="17" t="s">
        <v>133</v>
      </c>
      <c r="B1" s="18" t="s">
        <v>134</v>
      </c>
      <c r="C1" s="19" t="s">
        <v>135</v>
      </c>
    </row>
    <row r="2" spans="1:6" ht="43.2">
      <c r="A2" s="20" t="s">
        <v>136</v>
      </c>
      <c r="B2" s="21" t="s">
        <v>137</v>
      </c>
      <c r="C2" s="22">
        <v>0.16700000000000001</v>
      </c>
    </row>
    <row r="3" spans="1:6">
      <c r="A3" s="20" t="s">
        <v>138</v>
      </c>
      <c r="B3" s="21" t="s">
        <v>139</v>
      </c>
      <c r="C3" s="22">
        <v>0.73599999999999999</v>
      </c>
    </row>
    <row r="4" spans="1:6" ht="43.2">
      <c r="A4" s="23" t="s">
        <v>140</v>
      </c>
      <c r="B4" s="24" t="s">
        <v>141</v>
      </c>
      <c r="C4" s="25">
        <v>0.80500000000000005</v>
      </c>
      <c r="F4" s="16"/>
    </row>
    <row r="5" spans="1:6">
      <c r="F5" s="16"/>
    </row>
    <row r="6" spans="1:6">
      <c r="F6" s="16"/>
    </row>
    <row r="7" spans="1:6">
      <c r="F7" s="16"/>
    </row>
    <row r="8" spans="1:6">
      <c r="F8" s="16"/>
    </row>
    <row r="9" spans="1:6">
      <c r="F9" s="1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8247-9DF8-4851-B7E0-52765606AF26}">
  <dimension ref="A1:G321"/>
  <sheetViews>
    <sheetView workbookViewId="0">
      <selection activeCell="I14" sqref="I14"/>
    </sheetView>
  </sheetViews>
  <sheetFormatPr defaultRowHeight="14.4"/>
  <cols>
    <col min="1" max="1" width="18.109375" bestFit="1" customWidth="1"/>
    <col min="2" max="2" width="17.21875" customWidth="1"/>
    <col min="3" max="3" width="30.5546875" customWidth="1"/>
    <col min="4" max="4" width="12.21875" bestFit="1" customWidth="1"/>
    <col min="5" max="5" width="16.88671875" customWidth="1"/>
    <col min="6" max="6" width="14.33203125" bestFit="1" customWidth="1"/>
    <col min="7" max="7" width="12.6640625" bestFit="1" customWidth="1"/>
  </cols>
  <sheetData>
    <row r="1" spans="1:7" ht="28.2">
      <c r="A1" s="1" t="s">
        <v>4</v>
      </c>
      <c r="B1" s="1" t="s">
        <v>5</v>
      </c>
      <c r="C1" s="1" t="s">
        <v>8</v>
      </c>
      <c r="D1" s="12" t="s">
        <v>102</v>
      </c>
      <c r="E1" s="42" t="s">
        <v>12</v>
      </c>
      <c r="F1" s="12" t="s">
        <v>142</v>
      </c>
      <c r="G1" s="12" t="s">
        <v>114</v>
      </c>
    </row>
    <row r="2" spans="1:7">
      <c r="A2">
        <v>52758.01</v>
      </c>
      <c r="B2">
        <v>4063</v>
      </c>
      <c r="C2">
        <v>91.7</v>
      </c>
      <c r="D2">
        <v>0</v>
      </c>
      <c r="E2">
        <v>713611.16</v>
      </c>
      <c r="F2">
        <f>135425.92+(1.1766945*A2)+(33.661288*B2)+(2924.4894*C2)+(-1027.6873*D2)</f>
        <v>602447.47132194508</v>
      </c>
      <c r="G2">
        <f>E2-F2</f>
        <v>111163.68867805495</v>
      </c>
    </row>
    <row r="3" spans="1:7">
      <c r="A3">
        <v>32266.639999999999</v>
      </c>
      <c r="B3">
        <v>2414</v>
      </c>
      <c r="C3">
        <v>92.1</v>
      </c>
      <c r="D3">
        <v>0</v>
      </c>
      <c r="E3">
        <v>625514.04</v>
      </c>
      <c r="F3">
        <f>135425.92+(1.1766945*A3)+(33.661288*B3)+(2924.4894*C3)+(-1027.6873*D3)</f>
        <v>523997.72079348</v>
      </c>
      <c r="G3">
        <f>E3-F3</f>
        <v>101516.31920652004</v>
      </c>
    </row>
    <row r="4" spans="1:7">
      <c r="A4">
        <v>78111.97</v>
      </c>
      <c r="B4">
        <v>6389</v>
      </c>
      <c r="C4">
        <v>83.9</v>
      </c>
      <c r="D4">
        <v>0</v>
      </c>
      <c r="E4">
        <v>787715.51</v>
      </c>
      <c r="F4">
        <f>135425.92+(1.1766945*A4)+(33.661288*B4)+(2924.4894*C4)+(-1027.6873*D4)</f>
        <v>687766.47517516499</v>
      </c>
      <c r="G4">
        <f>E4-F4</f>
        <v>99949.03482483502</v>
      </c>
    </row>
    <row r="5" spans="1:7">
      <c r="A5">
        <v>61541.21</v>
      </c>
      <c r="B5">
        <v>10396</v>
      </c>
      <c r="C5">
        <v>88.1</v>
      </c>
      <c r="D5">
        <v>0</v>
      </c>
      <c r="E5">
        <v>914544.17</v>
      </c>
      <c r="F5">
        <f>135425.92+(1.1766945*A5)+(33.661288*B5)+(2924.4894*C5)+(-1027.6873*D5)</f>
        <v>815431.38951834501</v>
      </c>
      <c r="G5">
        <f>E5-F5</f>
        <v>99112.780481655034</v>
      </c>
    </row>
    <row r="6" spans="1:7">
      <c r="A6">
        <v>63582.11</v>
      </c>
      <c r="B6">
        <v>6856</v>
      </c>
      <c r="C6">
        <v>89.5</v>
      </c>
      <c r="D6">
        <v>0</v>
      </c>
      <c r="E6">
        <v>799046.94</v>
      </c>
      <c r="F6">
        <f>135425.92+(1.1766945*A6)+(33.661288*B6)+(2924.4894*C6)+(-1027.6873*D6)</f>
        <v>702766.23096339498</v>
      </c>
      <c r="G6">
        <f>E6-F6</f>
        <v>96280.709036604967</v>
      </c>
    </row>
    <row r="7" spans="1:7">
      <c r="A7">
        <v>65272.58</v>
      </c>
      <c r="B7">
        <v>8165</v>
      </c>
      <c r="C7">
        <v>87.8</v>
      </c>
      <c r="D7">
        <v>0</v>
      </c>
      <c r="E7">
        <v>840108.12</v>
      </c>
      <c r="F7">
        <f>135425.92+(1.1766945*A7)+(33.661288*B7)+(2924.4894*C7)+(-1027.6873*D7)</f>
        <v>743846.39172681002</v>
      </c>
      <c r="G7">
        <f>E7-F7</f>
        <v>96261.728273189976</v>
      </c>
    </row>
    <row r="8" spans="1:7">
      <c r="A8">
        <v>72731.14</v>
      </c>
      <c r="B8">
        <v>4644</v>
      </c>
      <c r="C8">
        <v>87.1</v>
      </c>
      <c r="D8">
        <v>0</v>
      </c>
      <c r="E8">
        <v>727241.86</v>
      </c>
      <c r="F8">
        <f>135425.92+(1.1766945*A8)+(33.661288*B8)+(2924.4894*C8)+(-1027.6873*D8)</f>
        <v>632054.30062872998</v>
      </c>
      <c r="G8">
        <f>E8-F8</f>
        <v>95187.559371270007</v>
      </c>
    </row>
    <row r="9" spans="1:7">
      <c r="A9">
        <v>56737.3</v>
      </c>
      <c r="B9">
        <v>8300</v>
      </c>
      <c r="C9">
        <v>83.2</v>
      </c>
      <c r="D9">
        <v>0</v>
      </c>
      <c r="E9">
        <v>813316.71</v>
      </c>
      <c r="F9">
        <f>135425.92+(1.1766945*A9)+(33.661288*B9)+(2924.4894*C9)+(-1027.6873*D9)</f>
        <v>724894.59733485</v>
      </c>
      <c r="G9">
        <f>E9-F9</f>
        <v>88422.112665149965</v>
      </c>
    </row>
    <row r="10" spans="1:7">
      <c r="A10">
        <v>57360.01</v>
      </c>
      <c r="B10">
        <v>8434</v>
      </c>
      <c r="C10">
        <v>84.1</v>
      </c>
      <c r="D10">
        <v>0</v>
      </c>
      <c r="E10">
        <v>820519.04</v>
      </c>
      <c r="F10">
        <f>135425.92+(1.1766945*A10)+(33.661288*B10)+(2924.4894*C10)+(-1027.6873*D10)</f>
        <v>732769.98981894495</v>
      </c>
      <c r="G10">
        <f>E10-F10</f>
        <v>87749.050181055092</v>
      </c>
    </row>
    <row r="11" spans="1:7">
      <c r="A11">
        <v>48438.85</v>
      </c>
      <c r="B11">
        <v>6992</v>
      </c>
      <c r="C11">
        <v>91</v>
      </c>
      <c r="D11">
        <v>0</v>
      </c>
      <c r="E11">
        <v>778298.88</v>
      </c>
      <c r="F11">
        <f>135425.92+(1.1766945*A11)+(33.661288*B11)+(2924.4894*C11)+(-1027.6873*D11)</f>
        <v>693911.90947732492</v>
      </c>
      <c r="G11">
        <f>E11-F11</f>
        <v>84386.970522675081</v>
      </c>
    </row>
    <row r="12" spans="1:7">
      <c r="A12">
        <v>78839.39</v>
      </c>
      <c r="B12">
        <v>5150</v>
      </c>
      <c r="C12">
        <v>85.8</v>
      </c>
      <c r="D12">
        <v>0</v>
      </c>
      <c r="E12">
        <v>735509.4</v>
      </c>
      <c r="F12">
        <f>135425.92+(1.1766945*A12)+(33.661288*B12)+(2924.4894*C12)+(-1027.6873*D12)</f>
        <v>652472.62031635491</v>
      </c>
      <c r="G12">
        <f>E12-F12</f>
        <v>83036.779683645116</v>
      </c>
    </row>
    <row r="13" spans="1:7">
      <c r="A13">
        <v>71838.86</v>
      </c>
      <c r="B13">
        <v>10979</v>
      </c>
      <c r="C13">
        <v>88.6</v>
      </c>
      <c r="D13">
        <v>1</v>
      </c>
      <c r="E13">
        <v>930581.7</v>
      </c>
      <c r="F13">
        <f>135425.92+(1.1766945*A13)+(33.661288*B13)+(2924.4894*C13)+(-1027.6873*D13)</f>
        <v>847607.66594027006</v>
      </c>
      <c r="G13">
        <f>E13-F13</f>
        <v>82974.034059729893</v>
      </c>
    </row>
    <row r="14" spans="1:7">
      <c r="A14">
        <v>55477.61</v>
      </c>
      <c r="B14">
        <v>5903</v>
      </c>
      <c r="C14">
        <v>96.2</v>
      </c>
      <c r="D14">
        <v>0</v>
      </c>
      <c r="E14">
        <v>763162.45</v>
      </c>
      <c r="F14">
        <f>135425.92+(1.1766945*A14)+(33.661288*B14)+(2924.4894*C14)+(-1027.6873*D14)</f>
        <v>680744.58190414496</v>
      </c>
      <c r="G14">
        <f>E14-F14</f>
        <v>82417.868095854996</v>
      </c>
    </row>
    <row r="15" spans="1:7">
      <c r="A15">
        <v>29389.32</v>
      </c>
      <c r="B15">
        <v>7925</v>
      </c>
      <c r="C15">
        <v>90.9</v>
      </c>
      <c r="D15">
        <v>0</v>
      </c>
      <c r="E15">
        <v>783582</v>
      </c>
      <c r="F15">
        <f>135425.92+(1.1766945*A15)+(33.661288*B15)+(2924.4894*C15)+(-1027.6873*D15)</f>
        <v>702609.96506274003</v>
      </c>
      <c r="G15">
        <f>E15-F15</f>
        <v>80972.034937259974</v>
      </c>
    </row>
    <row r="16" spans="1:7">
      <c r="A16">
        <v>38297.58</v>
      </c>
      <c r="B16">
        <v>5893</v>
      </c>
      <c r="C16">
        <v>77.599999999999994</v>
      </c>
      <c r="D16">
        <v>0</v>
      </c>
      <c r="E16">
        <v>686737.87</v>
      </c>
      <c r="F16">
        <f>135425.92+(1.1766945*A16)+(33.661288*B16)+(2924.4894*C16)+(-1027.6873*D16)</f>
        <v>605796.81937330996</v>
      </c>
      <c r="G16">
        <f>E16-F16</f>
        <v>80941.050626690034</v>
      </c>
    </row>
    <row r="17" spans="1:7">
      <c r="A17">
        <v>61391.8</v>
      </c>
      <c r="B17">
        <v>5575</v>
      </c>
      <c r="C17">
        <v>90</v>
      </c>
      <c r="D17">
        <v>1</v>
      </c>
      <c r="E17">
        <v>735786.64</v>
      </c>
      <c r="F17">
        <f>135425.92+(1.1766945*A17)+(33.661288*B17)+(2924.4894*C17)+(-1027.6873*D17)</f>
        <v>657503.35270509997</v>
      </c>
      <c r="G17">
        <f>E17-F17</f>
        <v>78283.287294900045</v>
      </c>
    </row>
    <row r="18" spans="1:7">
      <c r="A18">
        <v>74881.56</v>
      </c>
      <c r="B18">
        <v>9999</v>
      </c>
      <c r="C18">
        <v>89.6</v>
      </c>
      <c r="D18">
        <v>0</v>
      </c>
      <c r="E18">
        <v>898031.04</v>
      </c>
      <c r="F18">
        <f>135425.92+(1.1766945*A18)+(33.661288*B18)+(2924.4894*C18)+(-1027.6873*D18)</f>
        <v>822152.10875541996</v>
      </c>
      <c r="G18">
        <f>E18-F18</f>
        <v>75878.931244580075</v>
      </c>
    </row>
    <row r="19" spans="1:7">
      <c r="A19">
        <v>61650.79</v>
      </c>
      <c r="B19">
        <v>5321</v>
      </c>
      <c r="C19">
        <v>89.2</v>
      </c>
      <c r="D19">
        <v>0</v>
      </c>
      <c r="E19">
        <v>723305.11</v>
      </c>
      <c r="F19">
        <f>135425.92+(1.1766945*A19)+(33.661288*B19)+(2924.4894*C19)+(-1027.6873*D19)</f>
        <v>647946.23344165506</v>
      </c>
      <c r="G19">
        <f>E19-F19</f>
        <v>75358.876558344928</v>
      </c>
    </row>
    <row r="20" spans="1:7">
      <c r="A20">
        <v>64294.23</v>
      </c>
      <c r="B20">
        <v>6992</v>
      </c>
      <c r="C20">
        <v>94.1</v>
      </c>
      <c r="D20">
        <v>0</v>
      </c>
      <c r="E20">
        <v>795153.84</v>
      </c>
      <c r="F20">
        <f>135425.92+(1.1766945*A20)+(33.661288*B20)+(2924.4894*C20)+(-1027.6873*D20)</f>
        <v>721634.76505873492</v>
      </c>
      <c r="G20">
        <f>E20-F20</f>
        <v>73519.074941265048</v>
      </c>
    </row>
    <row r="21" spans="1:7">
      <c r="A21">
        <v>51450.55</v>
      </c>
      <c r="B21">
        <v>4902</v>
      </c>
      <c r="C21">
        <v>83.7</v>
      </c>
      <c r="D21">
        <v>0</v>
      </c>
      <c r="E21">
        <v>677640.65</v>
      </c>
      <c r="F21">
        <f>135425.92+(1.1766945*A21)+(33.661288*B21)+(2924.4894*C21)+(-1027.6873*D21)</f>
        <v>605754.89576297498</v>
      </c>
      <c r="G21">
        <f>E21-F21</f>
        <v>71885.754237025045</v>
      </c>
    </row>
    <row r="22" spans="1:7">
      <c r="A22">
        <v>68077.539999999994</v>
      </c>
      <c r="B22">
        <v>3360</v>
      </c>
      <c r="C22">
        <v>88.2</v>
      </c>
      <c r="D22">
        <v>0</v>
      </c>
      <c r="E22">
        <v>657429.18000000005</v>
      </c>
      <c r="F22">
        <f>135425.92+(1.1766945*A22)+(33.661288*B22)+(2924.4894*C22)+(-1027.6873*D22)</f>
        <v>586574.27965152997</v>
      </c>
      <c r="G22">
        <f>E22-F22</f>
        <v>70854.900348470081</v>
      </c>
    </row>
    <row r="23" spans="1:7">
      <c r="A23">
        <v>56918.16</v>
      </c>
      <c r="B23">
        <v>7015</v>
      </c>
      <c r="C23">
        <v>74.2</v>
      </c>
      <c r="D23">
        <v>1</v>
      </c>
      <c r="E23">
        <v>724216.07</v>
      </c>
      <c r="F23">
        <f>135425.92+(1.1766945*A23)+(33.661288*B23)+(2924.4894*C23)+(-1027.6873*D23)</f>
        <v>654504.56732211995</v>
      </c>
      <c r="G23">
        <f>E23-F23</f>
        <v>69711.502677879995</v>
      </c>
    </row>
    <row r="24" spans="1:7">
      <c r="A24">
        <v>67979.88</v>
      </c>
      <c r="B24">
        <v>11230</v>
      </c>
      <c r="C24">
        <v>85.3</v>
      </c>
      <c r="D24">
        <v>1</v>
      </c>
      <c r="E24">
        <v>910791.94</v>
      </c>
      <c r="F24">
        <f>135425.92+(1.1766945*A24)+(33.661288*B24)+(2924.4894*C24)+(-1027.6873*D24)</f>
        <v>841864.99366666004</v>
      </c>
      <c r="G24">
        <f>E24-F24</f>
        <v>68926.946333339904</v>
      </c>
    </row>
    <row r="25" spans="1:7">
      <c r="A25">
        <v>70144.78</v>
      </c>
      <c r="B25">
        <v>6806</v>
      </c>
      <c r="C25">
        <v>93.1</v>
      </c>
      <c r="D25">
        <v>0</v>
      </c>
      <c r="E25">
        <v>788087.68</v>
      </c>
      <c r="F25">
        <f>135425.92+(1.1766945*A25)+(33.661288*B25)+(2924.4894*C25)+(-1027.6873*D25)</f>
        <v>719333.58609770983</v>
      </c>
      <c r="G25">
        <f>E25-F25</f>
        <v>68754.093902290217</v>
      </c>
    </row>
    <row r="26" spans="1:7">
      <c r="A26">
        <v>74907.98</v>
      </c>
      <c r="B26">
        <v>5306</v>
      </c>
      <c r="C26">
        <v>95.6</v>
      </c>
      <c r="D26">
        <v>0</v>
      </c>
      <c r="E26">
        <v>749559.71</v>
      </c>
      <c r="F26">
        <f>135425.92+(1.1766945*A26)+(33.661288*B26)+(2924.4894*C26)+(-1027.6873*D26)</f>
        <v>681757.70884010999</v>
      </c>
      <c r="G26">
        <f>E26-F26</f>
        <v>67802.001159889973</v>
      </c>
    </row>
    <row r="27" spans="1:7">
      <c r="A27">
        <v>68148.52</v>
      </c>
      <c r="B27">
        <v>8567</v>
      </c>
      <c r="C27">
        <v>95.6</v>
      </c>
      <c r="D27">
        <v>0</v>
      </c>
      <c r="E27">
        <v>850164.26</v>
      </c>
      <c r="F27">
        <f>135425.92+(1.1766945*A27)+(33.661288*B27)+(2924.4894*C27)+(-1027.6873*D27)</f>
        <v>783573.34960314003</v>
      </c>
      <c r="G27">
        <f>E27-F27</f>
        <v>66590.910396859981</v>
      </c>
    </row>
    <row r="28" spans="1:7">
      <c r="A28">
        <v>48031.74</v>
      </c>
      <c r="B28">
        <v>6516</v>
      </c>
      <c r="C28">
        <v>99</v>
      </c>
      <c r="D28">
        <v>1</v>
      </c>
      <c r="E28">
        <v>765906.95</v>
      </c>
      <c r="F28">
        <f>135425.92+(1.1766945*A28)+(33.661288*B28)+(2924.4894*C28)+(-1027.6873*D28)</f>
        <v>699778.32019143004</v>
      </c>
      <c r="G28">
        <f>E28-F28</f>
        <v>66128.629808569909</v>
      </c>
    </row>
    <row r="29" spans="1:7">
      <c r="A29">
        <v>86421.88</v>
      </c>
      <c r="B29">
        <v>7970</v>
      </c>
      <c r="C29">
        <v>91.3</v>
      </c>
      <c r="D29">
        <v>0</v>
      </c>
      <c r="E29">
        <v>838250.32</v>
      </c>
      <c r="F29">
        <f>135425.92+(1.1766945*A29)+(33.661288*B29)+(2924.4894*C29)+(-1027.6873*D29)</f>
        <v>772404.41845565988</v>
      </c>
      <c r="G29">
        <f>E29-F29</f>
        <v>65845.901544340071</v>
      </c>
    </row>
    <row r="30" spans="1:7">
      <c r="A30">
        <v>60628.38</v>
      </c>
      <c r="B30">
        <v>4451</v>
      </c>
      <c r="C30">
        <v>89.6</v>
      </c>
      <c r="D30">
        <v>0</v>
      </c>
      <c r="E30">
        <v>682208.01</v>
      </c>
      <c r="F30">
        <f>135425.92+(1.1766945*A30)+(33.661288*B30)+(2924.4894*C30)+(-1027.6873*D30)</f>
        <v>618627.64441790991</v>
      </c>
      <c r="G30">
        <f>E30-F30</f>
        <v>63580.365582090104</v>
      </c>
    </row>
    <row r="31" spans="1:7">
      <c r="A31">
        <v>38397.82</v>
      </c>
      <c r="B31">
        <v>7836</v>
      </c>
      <c r="C31">
        <v>92.2</v>
      </c>
      <c r="D31">
        <v>0</v>
      </c>
      <c r="E31">
        <v>776110.32</v>
      </c>
      <c r="F31">
        <f>135425.92+(1.1766945*A31)+(33.661288*B31)+(2924.4894*C31)+(-1027.6873*D31)</f>
        <v>714016.19905398996</v>
      </c>
      <c r="G31">
        <f>E31-F31</f>
        <v>62094.120946009993</v>
      </c>
    </row>
    <row r="32" spans="1:7">
      <c r="A32">
        <v>70937.240000000005</v>
      </c>
      <c r="B32">
        <v>3595</v>
      </c>
      <c r="C32">
        <v>88.9</v>
      </c>
      <c r="D32">
        <v>0</v>
      </c>
      <c r="E32">
        <v>661927.14</v>
      </c>
      <c r="F32">
        <f>135425.92+(1.1766945*A32)+(33.661288*B32)+(2924.4894*C32)+(-1027.6873*D32)</f>
        <v>599896.81817317999</v>
      </c>
      <c r="G32">
        <f>E32-F32</f>
        <v>62030.321826820029</v>
      </c>
    </row>
    <row r="33" spans="1:7">
      <c r="A33">
        <v>31997.25</v>
      </c>
      <c r="B33">
        <v>8183</v>
      </c>
      <c r="C33">
        <v>93</v>
      </c>
      <c r="D33">
        <v>1</v>
      </c>
      <c r="E33">
        <v>780580.95</v>
      </c>
      <c r="F33">
        <f>135425.92+(1.1766945*A33)+(33.661288*B33)+(2924.4894*C33)+(-1027.6873*D33)</f>
        <v>719477.05469412496</v>
      </c>
      <c r="G33">
        <f>E33-F33</f>
        <v>61103.89530587499</v>
      </c>
    </row>
    <row r="34" spans="1:7">
      <c r="A34">
        <v>56517.9</v>
      </c>
      <c r="B34">
        <v>9574</v>
      </c>
      <c r="C34">
        <v>88.2</v>
      </c>
      <c r="D34">
        <v>0</v>
      </c>
      <c r="E34">
        <v>842157.92</v>
      </c>
      <c r="F34">
        <f>135425.92+(1.1766945*A34)+(33.661288*B34)+(2924.4894*C34)+(-1027.6873*D34)</f>
        <v>782143.35847354995</v>
      </c>
      <c r="G34">
        <f>E34-F34</f>
        <v>60014.561526450096</v>
      </c>
    </row>
    <row r="35" spans="1:7">
      <c r="A35">
        <v>23254.57</v>
      </c>
      <c r="B35">
        <v>3847</v>
      </c>
      <c r="C35">
        <v>93</v>
      </c>
      <c r="D35">
        <v>1</v>
      </c>
      <c r="E35">
        <v>620973.03</v>
      </c>
      <c r="F35">
        <f>135425.92+(1.1766945*A35)+(33.661288*B35)+(2924.4894*C35)+(-1027.6873*D35)</f>
        <v>563234.24645486497</v>
      </c>
      <c r="G35">
        <f>E35-F35</f>
        <v>57738.783545135055</v>
      </c>
    </row>
    <row r="36" spans="1:7">
      <c r="A36">
        <v>69779</v>
      </c>
      <c r="B36">
        <v>6544</v>
      </c>
      <c r="C36">
        <v>90.2</v>
      </c>
      <c r="D36">
        <v>0</v>
      </c>
      <c r="E36">
        <v>758827.64</v>
      </c>
      <c r="F36">
        <f>135425.92+(1.1766945*A36)+(33.661288*B36)+(2924.4894*C36)+(-1027.6873*D36)</f>
        <v>701602.89806749998</v>
      </c>
      <c r="G36">
        <f>E36-F36</f>
        <v>57224.741932500037</v>
      </c>
    </row>
    <row r="37" spans="1:7">
      <c r="A37">
        <v>75269.87</v>
      </c>
      <c r="B37">
        <v>8838</v>
      </c>
      <c r="C37">
        <v>83.1</v>
      </c>
      <c r="D37">
        <v>1</v>
      </c>
      <c r="E37">
        <v>820593.93</v>
      </c>
      <c r="F37">
        <f>135425.92+(1.1766945*A37)+(33.661288*B37)+(2924.4894*C37)+(-1027.6873*D37)</f>
        <v>763491.4072287149</v>
      </c>
      <c r="G37">
        <f>E37-F37</f>
        <v>57102.522771285148</v>
      </c>
    </row>
    <row r="38" spans="1:7">
      <c r="A38">
        <v>54300.87</v>
      </c>
      <c r="B38">
        <v>7875</v>
      </c>
      <c r="C38">
        <v>94.1</v>
      </c>
      <c r="D38">
        <v>0</v>
      </c>
      <c r="E38">
        <v>795464.47</v>
      </c>
      <c r="F38">
        <f>135425.92+(1.1766945*A38)+(33.661288*B38)+(2924.4894*C38)+(-1027.6873*D38)</f>
        <v>739598.55061421497</v>
      </c>
      <c r="G38">
        <f>E38-F38</f>
        <v>55865.919385785004</v>
      </c>
    </row>
    <row r="39" spans="1:7">
      <c r="A39">
        <v>67439.3</v>
      </c>
      <c r="B39">
        <v>6477</v>
      </c>
      <c r="C39">
        <v>90.9</v>
      </c>
      <c r="D39">
        <v>0</v>
      </c>
      <c r="E39">
        <v>753473.55</v>
      </c>
      <c r="F39">
        <f>135425.92+(1.1766945*A39)+(33.661288*B39)+(2924.4894*C39)+(-1027.6873*D39)</f>
        <v>698641.62222985004</v>
      </c>
      <c r="G39">
        <f>E39-F39</f>
        <v>54831.92777015001</v>
      </c>
    </row>
    <row r="40" spans="1:7">
      <c r="A40">
        <v>58785.33</v>
      </c>
      <c r="B40">
        <v>4467</v>
      </c>
      <c r="C40">
        <v>90.7</v>
      </c>
      <c r="D40">
        <v>1</v>
      </c>
      <c r="E40">
        <v>673348.56</v>
      </c>
      <c r="F40">
        <f>135425.92+(1.1766945*A40)+(33.661288*B40)+(2924.4894*C40)+(-1027.6873*D40)</f>
        <v>619186.76926768501</v>
      </c>
      <c r="G40">
        <f>E40-F40</f>
        <v>54161.790732315043</v>
      </c>
    </row>
    <row r="41" spans="1:7">
      <c r="A41">
        <v>37284.660000000003</v>
      </c>
      <c r="B41">
        <v>3928</v>
      </c>
      <c r="C41">
        <v>86.5</v>
      </c>
      <c r="D41">
        <v>0</v>
      </c>
      <c r="E41">
        <v>615966.48</v>
      </c>
      <c r="F41">
        <f>135425.92+(1.1766945*A41)+(33.661288*B41)+(2924.4894*C41)+(-1027.6873*D41)</f>
        <v>564488.44672037009</v>
      </c>
      <c r="G41">
        <f>E41-F41</f>
        <v>51478.03327962989</v>
      </c>
    </row>
    <row r="42" spans="1:7">
      <c r="A42">
        <v>80562.81</v>
      </c>
      <c r="B42">
        <v>7470</v>
      </c>
      <c r="C42">
        <v>83.5</v>
      </c>
      <c r="D42">
        <v>0</v>
      </c>
      <c r="E42">
        <v>776922.17</v>
      </c>
      <c r="F42">
        <f>135425.92+(1.1766945*A42)+(33.661288*B42)+(2924.4894*C42)+(-1027.6873*D42)</f>
        <v>725868.42169154505</v>
      </c>
      <c r="G42">
        <f>E42-F42</f>
        <v>51053.748308454989</v>
      </c>
    </row>
    <row r="43" spans="1:7">
      <c r="A43">
        <v>72150.53</v>
      </c>
      <c r="B43">
        <v>9323</v>
      </c>
      <c r="C43">
        <v>82.9</v>
      </c>
      <c r="D43">
        <v>1</v>
      </c>
      <c r="E43">
        <v>825797.91</v>
      </c>
      <c r="F43">
        <f>135425.92+(1.1766945*A43)+(33.661288*B43)+(2924.4894*C43)+(-1027.6873*D43)</f>
        <v>775561.72380708496</v>
      </c>
      <c r="G43">
        <f>E43-F43</f>
        <v>50236.186192915076</v>
      </c>
    </row>
    <row r="44" spans="1:7">
      <c r="A44">
        <v>74954.47</v>
      </c>
      <c r="B44">
        <v>6620</v>
      </c>
      <c r="C44">
        <v>91.1</v>
      </c>
      <c r="D44">
        <v>0</v>
      </c>
      <c r="E44">
        <v>761860.19</v>
      </c>
      <c r="F44">
        <f>135425.92+(1.1766945*A44)+(33.661288*B44)+(2924.4894*C44)+(-1027.6873*D44)</f>
        <v>712883.1434994149</v>
      </c>
      <c r="G44">
        <f>E44-F44</f>
        <v>48977.046500585042</v>
      </c>
    </row>
    <row r="45" spans="1:7">
      <c r="A45">
        <v>75412.740000000005</v>
      </c>
      <c r="B45">
        <v>5641</v>
      </c>
      <c r="C45">
        <v>87.9</v>
      </c>
      <c r="D45">
        <v>0</v>
      </c>
      <c r="E45">
        <v>720079.54</v>
      </c>
      <c r="F45">
        <f>135425.92+(1.1766945*A45)+(33.661288*B45)+(2924.4894*C45)+(-1027.6873*D45)</f>
        <v>671109.62025593</v>
      </c>
      <c r="G45">
        <f>E45-F45</f>
        <v>48969.919744070037</v>
      </c>
    </row>
    <row r="46" spans="1:7">
      <c r="A46">
        <v>80176.34</v>
      </c>
      <c r="B46">
        <v>9489</v>
      </c>
      <c r="C46">
        <v>94.3</v>
      </c>
      <c r="D46">
        <v>0</v>
      </c>
      <c r="E46">
        <v>873380.02</v>
      </c>
      <c r="F46">
        <f>135425.92+(1.1766945*A46)+(33.661288*B46)+(2924.4894*C46)+(-1027.6873*D46)</f>
        <v>824960.29056013003</v>
      </c>
      <c r="G46">
        <f>E46-F46</f>
        <v>48419.729439869989</v>
      </c>
    </row>
    <row r="47" spans="1:7">
      <c r="A47">
        <v>50517.94</v>
      </c>
      <c r="B47">
        <v>7024</v>
      </c>
      <c r="C47">
        <v>79.2</v>
      </c>
      <c r="D47">
        <v>0</v>
      </c>
      <c r="E47">
        <v>711213.46</v>
      </c>
      <c r="F47">
        <f>135425.92+(1.1766945*A47)+(33.661288*B47)+(2924.4894*C47)+(-1027.6873*D47)</f>
        <v>662926.54954132996</v>
      </c>
      <c r="G47">
        <f>E47-F47</f>
        <v>48286.910458669998</v>
      </c>
    </row>
    <row r="48" spans="1:7">
      <c r="A48">
        <v>113736</v>
      </c>
      <c r="B48">
        <v>8961</v>
      </c>
      <c r="C48">
        <v>86.2</v>
      </c>
      <c r="D48">
        <v>0</v>
      </c>
      <c r="E48">
        <v>870937.4</v>
      </c>
      <c r="F48">
        <f>135425.92+(1.1766945*A48)+(33.661288*B48)+(2924.4894*C48)+(-1027.6873*D48)</f>
        <v>822988.23369999998</v>
      </c>
      <c r="G48">
        <f>E48-F48</f>
        <v>47949.166300000041</v>
      </c>
    </row>
    <row r="49" spans="1:7">
      <c r="A49">
        <v>53084.76</v>
      </c>
      <c r="B49">
        <v>3642</v>
      </c>
      <c r="C49">
        <v>91.4</v>
      </c>
      <c r="D49">
        <v>0</v>
      </c>
      <c r="E49">
        <v>635181.35</v>
      </c>
      <c r="F49">
        <f>135425.92+(1.1766945*A49)+(33.661288*B49)+(2924.4894*C49)+(-1027.6873*D49)</f>
        <v>587783.20718181995</v>
      </c>
      <c r="G49">
        <f>E49-F49</f>
        <v>47398.142818180029</v>
      </c>
    </row>
    <row r="50" spans="1:7">
      <c r="A50">
        <v>40535.089999999997</v>
      </c>
      <c r="B50">
        <v>8870</v>
      </c>
      <c r="C50">
        <v>86.6</v>
      </c>
      <c r="D50">
        <v>0</v>
      </c>
      <c r="E50">
        <v>781955.52</v>
      </c>
      <c r="F50">
        <f>135425.92+(1.1766945*A50)+(33.661288*B50)+(2924.4894*C50)+(-1027.6873*D50)</f>
        <v>734959.74406000494</v>
      </c>
      <c r="G50">
        <f>E50-F50</f>
        <v>46995.775939995074</v>
      </c>
    </row>
    <row r="51" spans="1:7">
      <c r="A51">
        <v>81195.5</v>
      </c>
      <c r="B51">
        <v>5516</v>
      </c>
      <c r="C51">
        <v>88</v>
      </c>
      <c r="D51">
        <v>0</v>
      </c>
      <c r="E51">
        <v>720852.5</v>
      </c>
      <c r="F51">
        <f>135425.92+(1.1766945*A51)+(33.661288*B51)+(2924.4894*C51)+(-1027.6873*D51)</f>
        <v>673998.95008275006</v>
      </c>
      <c r="G51">
        <f>E51-F51</f>
        <v>46853.54991724994</v>
      </c>
    </row>
    <row r="52" spans="1:7">
      <c r="A52">
        <v>44034.6</v>
      </c>
      <c r="B52">
        <v>5645</v>
      </c>
      <c r="C52">
        <v>88.5</v>
      </c>
      <c r="D52">
        <v>0</v>
      </c>
      <c r="E52">
        <v>682639.28</v>
      </c>
      <c r="F52">
        <f>135425.92+(1.1766945*A52)+(33.661288*B52)+(2924.4894*C52)+(-1027.6873*D52)</f>
        <v>636076.47428970004</v>
      </c>
      <c r="G52">
        <f>E52-F52</f>
        <v>46562.805710299988</v>
      </c>
    </row>
    <row r="53" spans="1:7">
      <c r="A53">
        <v>65312.49</v>
      </c>
      <c r="B53">
        <v>7189</v>
      </c>
      <c r="C53">
        <v>93.7</v>
      </c>
      <c r="D53">
        <v>1</v>
      </c>
      <c r="E53">
        <v>773815.14</v>
      </c>
      <c r="F53">
        <f>135425.92+(1.1766945*A53)+(33.661288*B53)+(2924.4894*C53)+(-1027.6873*D53)</f>
        <v>727266.73667630495</v>
      </c>
      <c r="G53">
        <f>E53-F53</f>
        <v>46548.403323695064</v>
      </c>
    </row>
    <row r="54" spans="1:7">
      <c r="A54">
        <v>23914.97</v>
      </c>
      <c r="B54">
        <v>8018</v>
      </c>
      <c r="C54">
        <v>89</v>
      </c>
      <c r="D54">
        <v>0</v>
      </c>
      <c r="E54">
        <v>739374.56</v>
      </c>
      <c r="F54">
        <f>135425.92+(1.1766945*A54)+(33.661288*B54)+(2924.4894*C54)+(-1027.6873*D54)</f>
        <v>693742.29745066504</v>
      </c>
      <c r="G54">
        <f>E54-F54</f>
        <v>45632.262549335021</v>
      </c>
    </row>
    <row r="55" spans="1:7">
      <c r="A55">
        <v>61426.04</v>
      </c>
      <c r="B55">
        <v>8966</v>
      </c>
      <c r="C55">
        <v>76.400000000000006</v>
      </c>
      <c r="D55">
        <v>0</v>
      </c>
      <c r="E55">
        <v>778397.97</v>
      </c>
      <c r="F55">
        <f>135425.92+(1.1766945*A55)+(33.661288*B55)+(2924.4894*C55)+(-1027.6873*D55)</f>
        <v>732943.70179278008</v>
      </c>
      <c r="G55">
        <f>E55-F55</f>
        <v>45454.268207219895</v>
      </c>
    </row>
    <row r="56" spans="1:7">
      <c r="A56">
        <v>47241.919999999998</v>
      </c>
      <c r="B56">
        <v>4264</v>
      </c>
      <c r="C56">
        <v>95.3</v>
      </c>
      <c r="D56">
        <v>0</v>
      </c>
      <c r="E56">
        <v>658072.14</v>
      </c>
      <c r="F56">
        <f>135425.92+(1.1766945*A56)+(33.661288*B56)+(2924.4894*C56)+(-1027.6873*D56)</f>
        <v>613250.79928544001</v>
      </c>
      <c r="G56">
        <f>E56-F56</f>
        <v>44821.340714560007</v>
      </c>
    </row>
    <row r="57" spans="1:7">
      <c r="A57">
        <v>51430.31</v>
      </c>
      <c r="B57">
        <v>6427</v>
      </c>
      <c r="C57">
        <v>88.8</v>
      </c>
      <c r="D57">
        <v>0</v>
      </c>
      <c r="E57">
        <v>715890.53</v>
      </c>
      <c r="F57">
        <f>135425.92+(1.1766945*A57)+(33.661288*B57)+(2924.4894*C57)+(-1027.6873*D57)</f>
        <v>671979.43960629497</v>
      </c>
      <c r="G57">
        <f>E57-F57</f>
        <v>43911.090393705061</v>
      </c>
    </row>
    <row r="58" spans="1:7">
      <c r="A58">
        <v>71851.45</v>
      </c>
      <c r="B58">
        <v>4970</v>
      </c>
      <c r="C58">
        <v>89.6</v>
      </c>
      <c r="D58">
        <v>1</v>
      </c>
      <c r="E58">
        <v>691447.43</v>
      </c>
      <c r="F58">
        <f>135425.92+(1.1766945*A58)+(33.661288*B58)+(2924.4894*C58)+(-1027.6873*D58)</f>
        <v>648276.29033202503</v>
      </c>
      <c r="G58">
        <f>E58-F58</f>
        <v>43171.139667975018</v>
      </c>
    </row>
    <row r="59" spans="1:7">
      <c r="A59">
        <v>31207.51</v>
      </c>
      <c r="B59">
        <v>3701</v>
      </c>
      <c r="C59">
        <v>84.7</v>
      </c>
      <c r="D59">
        <v>0</v>
      </c>
      <c r="E59">
        <v>586307.22</v>
      </c>
      <c r="F59">
        <f>135425.92+(1.1766945*A59)+(33.661288*B59)+(2924.4894*C59)+(-1027.6873*D59)</f>
        <v>544432.304443695</v>
      </c>
      <c r="G59">
        <f>E59-F59</f>
        <v>41874.915556304972</v>
      </c>
    </row>
    <row r="60" spans="1:7">
      <c r="A60">
        <v>47093.55</v>
      </c>
      <c r="B60">
        <v>5550</v>
      </c>
      <c r="C60">
        <v>95</v>
      </c>
      <c r="D60">
        <v>0</v>
      </c>
      <c r="E60">
        <v>696744.15</v>
      </c>
      <c r="F60">
        <f>135425.92+(1.1766945*A60)+(33.661288*B60)+(2924.4894*C60)+(-1027.6873*D60)</f>
        <v>655487.28267047508</v>
      </c>
      <c r="G60">
        <f>E60-F60</f>
        <v>41256.867329524946</v>
      </c>
    </row>
    <row r="61" spans="1:7">
      <c r="A61">
        <v>54872.82</v>
      </c>
      <c r="B61">
        <v>5962</v>
      </c>
      <c r="C61">
        <v>85.4</v>
      </c>
      <c r="D61">
        <v>0</v>
      </c>
      <c r="E61">
        <v>691112.6</v>
      </c>
      <c r="F61">
        <f>135425.92+(1.1766945*A61)+(33.661288*B61)+(2924.4894*C61)+(-1027.6873*D61)</f>
        <v>650434.45930949005</v>
      </c>
      <c r="G61">
        <f>E61-F61</f>
        <v>40678.140690509928</v>
      </c>
    </row>
    <row r="62" spans="1:7">
      <c r="A62">
        <v>22387.26</v>
      </c>
      <c r="B62">
        <v>6301</v>
      </c>
      <c r="C62">
        <v>85.9</v>
      </c>
      <c r="D62">
        <v>0</v>
      </c>
      <c r="E62">
        <v>665342.49</v>
      </c>
      <c r="F62">
        <f>135425.92+(1.1766945*A62)+(33.661288*B62)+(2924.4894*C62)+(-1027.6873*D62)</f>
        <v>625082.30086007004</v>
      </c>
      <c r="G62">
        <f>E62-F62</f>
        <v>40260.189139929949</v>
      </c>
    </row>
    <row r="63" spans="1:7">
      <c r="A63">
        <v>51781.599999999999</v>
      </c>
      <c r="B63">
        <v>5648</v>
      </c>
      <c r="C63">
        <v>85.5</v>
      </c>
      <c r="D63">
        <v>0</v>
      </c>
      <c r="E63">
        <v>676337.41</v>
      </c>
      <c r="F63">
        <f>135425.92+(1.1766945*A63)+(33.661288*B63)+(2924.4894*C63)+(-1027.6873*D63)</f>
        <v>636519.84224519995</v>
      </c>
      <c r="G63">
        <f>E63-F63</f>
        <v>39817.567754800082</v>
      </c>
    </row>
    <row r="64" spans="1:7">
      <c r="A64">
        <v>69900.12</v>
      </c>
      <c r="B64">
        <v>8055</v>
      </c>
      <c r="C64">
        <v>85.6</v>
      </c>
      <c r="D64">
        <v>0</v>
      </c>
      <c r="E64">
        <v>776992.93</v>
      </c>
      <c r="F64">
        <f>135425.92+(1.1766945*A64)+(33.661288*B64)+(2924.4894*C64)+(-1027.6873*D64)</f>
        <v>739154.97423334001</v>
      </c>
      <c r="G64">
        <f>E64-F64</f>
        <v>37837.955766660045</v>
      </c>
    </row>
    <row r="65" spans="1:7">
      <c r="A65">
        <v>82116.19</v>
      </c>
      <c r="B65">
        <v>5988</v>
      </c>
      <c r="C65">
        <v>91.8</v>
      </c>
      <c r="D65">
        <v>0</v>
      </c>
      <c r="E65">
        <v>739852.58</v>
      </c>
      <c r="F65">
        <f>135425.92+(1.1766945*A65)+(33.661288*B65)+(2924.4894*C65)+(-1027.6873*D65)</f>
        <v>702083.50859795511</v>
      </c>
      <c r="G65">
        <f>E65-F65</f>
        <v>37769.07140204485</v>
      </c>
    </row>
    <row r="66" spans="1:7">
      <c r="A66">
        <v>41819.449999999997</v>
      </c>
      <c r="B66">
        <v>9412</v>
      </c>
      <c r="C66">
        <v>91</v>
      </c>
      <c r="D66">
        <v>0</v>
      </c>
      <c r="E66">
        <v>804975.5</v>
      </c>
      <c r="F66">
        <f>135425.92+(1.1766945*A66)+(33.661288*B66)+(2924.4894*C66)+(-1027.6873*D66)</f>
        <v>767583.21486402501</v>
      </c>
      <c r="G66">
        <f>E66-F66</f>
        <v>37392.285135974991</v>
      </c>
    </row>
    <row r="67" spans="1:7">
      <c r="A67">
        <v>83044.17</v>
      </c>
      <c r="B67">
        <v>3694</v>
      </c>
      <c r="C67">
        <v>89.4</v>
      </c>
      <c r="D67">
        <v>1</v>
      </c>
      <c r="E67">
        <v>654317.09</v>
      </c>
      <c r="F67">
        <f>135425.92+(1.1766945*A67)+(33.661288*B67)+(2924.4894*C67)+(-1027.6873*D67)</f>
        <v>617910.00102806499</v>
      </c>
      <c r="G67">
        <f>E67-F67</f>
        <v>36407.08897193498</v>
      </c>
    </row>
    <row r="68" spans="1:7">
      <c r="A68">
        <v>99874.01</v>
      </c>
      <c r="B68">
        <v>5887</v>
      </c>
      <c r="C68">
        <v>88.7</v>
      </c>
      <c r="D68">
        <v>0</v>
      </c>
      <c r="E68">
        <v>746677.75</v>
      </c>
      <c r="F68">
        <f>135425.92+(1.1766945*A68)+(33.661288*B68)+(2924.4894*C68)+(-1027.6873*D68)</f>
        <v>710513.33049594506</v>
      </c>
      <c r="G68">
        <f>E68-F68</f>
        <v>36164.419504054938</v>
      </c>
    </row>
    <row r="69" spans="1:7">
      <c r="A69">
        <v>17562.57</v>
      </c>
      <c r="B69">
        <v>3326</v>
      </c>
      <c r="C69">
        <v>88.1</v>
      </c>
      <c r="D69">
        <v>0</v>
      </c>
      <c r="E69">
        <v>561597.32999999996</v>
      </c>
      <c r="F69">
        <f>135425.92+(1.1766945*A69)+(33.661288*B69)+(2924.4894*C69)+(-1027.6873*D69)</f>
        <v>525696.65955286496</v>
      </c>
      <c r="G69">
        <f>E69-F69</f>
        <v>35900.670447134995</v>
      </c>
    </row>
    <row r="70" spans="1:7">
      <c r="A70">
        <v>71641.899999999994</v>
      </c>
      <c r="B70">
        <v>3506</v>
      </c>
      <c r="C70">
        <v>86.4</v>
      </c>
      <c r="D70">
        <v>0</v>
      </c>
      <c r="E70">
        <v>625993.82999999996</v>
      </c>
      <c r="F70">
        <f>135425.92+(1.1766945*A70)+(33.661288*B70)+(2924.4894*C70)+(-1027.6873*D70)</f>
        <v>590418.90958754998</v>
      </c>
      <c r="G70">
        <f>E70-F70</f>
        <v>35574.920412449981</v>
      </c>
    </row>
    <row r="71" spans="1:7">
      <c r="A71">
        <v>75265.02</v>
      </c>
      <c r="B71">
        <v>6975</v>
      </c>
      <c r="C71">
        <v>73.8</v>
      </c>
      <c r="D71">
        <v>0</v>
      </c>
      <c r="E71">
        <v>709478.39</v>
      </c>
      <c r="F71">
        <f>135425.92+(1.1766945*A71)+(33.661288*B71)+(2924.4894*C71)+(-1027.6873*D71)</f>
        <v>674604.65659639006</v>
      </c>
      <c r="G71">
        <f>E71-F71</f>
        <v>34873.733403609949</v>
      </c>
    </row>
    <row r="72" spans="1:7">
      <c r="A72">
        <v>57919.07</v>
      </c>
      <c r="B72">
        <v>7374</v>
      </c>
      <c r="C72">
        <v>82.3</v>
      </c>
      <c r="D72">
        <v>0</v>
      </c>
      <c r="E72">
        <v>727227.2</v>
      </c>
      <c r="F72">
        <f>135425.92+(1.1766945*A72)+(33.661288*B72)+(2924.4894*C72)+(-1027.6873*D72)</f>
        <v>692482.786446115</v>
      </c>
      <c r="G72">
        <f>E72-F72</f>
        <v>34744.413553884951</v>
      </c>
    </row>
    <row r="73" spans="1:7">
      <c r="A73">
        <v>50887.46</v>
      </c>
      <c r="B73">
        <v>9505</v>
      </c>
      <c r="C73">
        <v>89.7</v>
      </c>
      <c r="D73">
        <v>0</v>
      </c>
      <c r="E73">
        <v>812152.6</v>
      </c>
      <c r="F73">
        <f>135425.92+(1.1766945*A73)+(33.661288*B73)+(2924.4894*C73)+(-1027.6873*D73)</f>
        <v>777582.15592097002</v>
      </c>
      <c r="G73">
        <f>E73-F73</f>
        <v>34570.444079029956</v>
      </c>
    </row>
    <row r="74" spans="1:7">
      <c r="A74">
        <v>69180.539999999994</v>
      </c>
      <c r="B74">
        <v>5394</v>
      </c>
      <c r="C74">
        <v>82.9</v>
      </c>
      <c r="D74">
        <v>1</v>
      </c>
      <c r="E74">
        <v>674289.1</v>
      </c>
      <c r="F74">
        <f>135425.92+(1.1766945*A74)+(33.661288*B74)+(2924.4894*C74)+(-1027.6873*D74)</f>
        <v>639811.75235703005</v>
      </c>
      <c r="G74">
        <f>E74-F74</f>
        <v>34477.347642969922</v>
      </c>
    </row>
    <row r="75" spans="1:7">
      <c r="A75">
        <v>90084.4</v>
      </c>
      <c r="B75">
        <v>6832</v>
      </c>
      <c r="C75">
        <v>80.5</v>
      </c>
      <c r="D75">
        <v>0</v>
      </c>
      <c r="E75">
        <v>740102.64</v>
      </c>
      <c r="F75">
        <f>135425.92+(1.1766945*A75)+(33.661288*B75)+(2924.4894*C75)+(-1027.6873*D75)</f>
        <v>706823.05433179997</v>
      </c>
      <c r="G75">
        <f>E75-F75</f>
        <v>33279.585668200045</v>
      </c>
    </row>
    <row r="76" spans="1:7">
      <c r="A76">
        <v>71828.259999999995</v>
      </c>
      <c r="B76">
        <v>12775</v>
      </c>
      <c r="C76">
        <v>81.7</v>
      </c>
      <c r="D76">
        <v>0</v>
      </c>
      <c r="E76">
        <v>922168.6</v>
      </c>
      <c r="F76">
        <f>135425.92+(1.1766945*A76)+(33.661288*B76)+(2924.4894*C76)+(-1027.6873*D76)</f>
        <v>888899.57666657004</v>
      </c>
      <c r="G76">
        <f>E76-F76</f>
        <v>33269.023333429941</v>
      </c>
    </row>
    <row r="77" spans="1:7">
      <c r="A77">
        <v>67494.09</v>
      </c>
      <c r="B77">
        <v>12361</v>
      </c>
      <c r="C77">
        <v>76.599999999999994</v>
      </c>
      <c r="D77">
        <v>0</v>
      </c>
      <c r="E77">
        <v>887537.75</v>
      </c>
      <c r="F77">
        <f>135425.92+(1.1766945*A77)+(33.661288*B77)+(2924.4894*C77)+(-1027.6873*D77)</f>
        <v>854948.91349350498</v>
      </c>
      <c r="G77">
        <f>E77-F77</f>
        <v>32588.836506495019</v>
      </c>
    </row>
    <row r="78" spans="1:7">
      <c r="A78">
        <v>55081.16</v>
      </c>
      <c r="B78">
        <v>5485</v>
      </c>
      <c r="C78">
        <v>88</v>
      </c>
      <c r="D78">
        <v>0</v>
      </c>
      <c r="E78">
        <v>674774.09</v>
      </c>
      <c r="F78">
        <f>135425.92+(1.1766945*A78)+(33.661288*B78)+(2924.4894*C78)+(-1027.6873*D78)</f>
        <v>642226.84990561998</v>
      </c>
      <c r="G78">
        <f>E78-F78</f>
        <v>32547.240094379988</v>
      </c>
    </row>
    <row r="79" spans="1:7">
      <c r="A79">
        <v>28670.43</v>
      </c>
      <c r="B79">
        <v>7574</v>
      </c>
      <c r="C79">
        <v>82.7</v>
      </c>
      <c r="D79">
        <v>0</v>
      </c>
      <c r="E79">
        <v>697888.09</v>
      </c>
      <c r="F79">
        <f>135425.92+(1.1766945*A79)+(33.661288*B79)+(2924.4894*C79)+(-1027.6873*D79)</f>
        <v>665968.12598563498</v>
      </c>
      <c r="G79">
        <f>E79-F79</f>
        <v>31919.964014364989</v>
      </c>
    </row>
    <row r="80" spans="1:7">
      <c r="A80">
        <v>67722.289999999994</v>
      </c>
      <c r="B80">
        <v>7240</v>
      </c>
      <c r="C80">
        <v>92.9</v>
      </c>
      <c r="D80">
        <v>0</v>
      </c>
      <c r="E80">
        <v>762328.31</v>
      </c>
      <c r="F80">
        <f>135425.92+(1.1766945*A80)+(33.661288*B80)+(2924.4894*C80)+(-1027.6873*D80)</f>
        <v>730507.15655040508</v>
      </c>
      <c r="G80">
        <f>E80-F80</f>
        <v>31821.153449594975</v>
      </c>
    </row>
    <row r="81" spans="1:7">
      <c r="A81">
        <v>54948.02</v>
      </c>
      <c r="B81">
        <v>6534</v>
      </c>
      <c r="C81">
        <v>94.5</v>
      </c>
      <c r="D81">
        <v>0</v>
      </c>
      <c r="E81">
        <v>727957.48</v>
      </c>
      <c r="F81">
        <f>135425.92+(1.1766945*A81)+(33.661288*B81)+(2924.4894*C81)+(-1027.6873*D81)</f>
        <v>696390.05701188999</v>
      </c>
      <c r="G81">
        <f>E81-F81</f>
        <v>31567.422988109989</v>
      </c>
    </row>
    <row r="82" spans="1:7">
      <c r="A82">
        <v>71855.09</v>
      </c>
      <c r="B82">
        <v>5911</v>
      </c>
      <c r="C82">
        <v>94.3</v>
      </c>
      <c r="D82">
        <v>0</v>
      </c>
      <c r="E82">
        <v>725847.99</v>
      </c>
      <c r="F82">
        <f>135425.92+(1.1766945*A82)+(33.661288*B82)+(2924.4894*C82)+(-1027.6873*D82)</f>
        <v>694728.63298800495</v>
      </c>
      <c r="G82">
        <f>E82-F82</f>
        <v>31119.357011995045</v>
      </c>
    </row>
    <row r="83" spans="1:7">
      <c r="A83">
        <v>36832.33</v>
      </c>
      <c r="B83">
        <v>8001</v>
      </c>
      <c r="C83">
        <v>88.7</v>
      </c>
      <c r="D83">
        <v>0</v>
      </c>
      <c r="E83">
        <v>738548.42</v>
      </c>
      <c r="F83">
        <f>135425.92+(1.1766945*A83)+(33.661288*B83)+(2924.4894*C83)+(-1027.6873*D83)</f>
        <v>707492.495201185</v>
      </c>
      <c r="G83">
        <f>E83-F83</f>
        <v>31055.924798815046</v>
      </c>
    </row>
    <row r="84" spans="1:7">
      <c r="A84">
        <v>55101.1</v>
      </c>
      <c r="B84">
        <v>5281</v>
      </c>
      <c r="C84">
        <v>91</v>
      </c>
      <c r="D84">
        <v>0</v>
      </c>
      <c r="E84">
        <v>675177.68</v>
      </c>
      <c r="F84">
        <f>135425.92+(1.1766945*A84)+(33.661288*B84)+(2924.4894*C84)+(-1027.6873*D84)</f>
        <v>644156.87864194997</v>
      </c>
      <c r="G84">
        <f>E84-F84</f>
        <v>31020.801358050085</v>
      </c>
    </row>
    <row r="85" spans="1:7">
      <c r="A85">
        <v>75109.67</v>
      </c>
      <c r="B85">
        <v>6244</v>
      </c>
      <c r="C85">
        <v>96.3</v>
      </c>
      <c r="D85">
        <v>0</v>
      </c>
      <c r="E85">
        <v>743348.84</v>
      </c>
      <c r="F85">
        <f>135425.92+(1.1766945*A85)+(33.661288*B85)+(2924.4894*C85)+(-1027.6873*D85)</f>
        <v>715616.46707781497</v>
      </c>
      <c r="G85">
        <f>E85-F85</f>
        <v>27732.372922184994</v>
      </c>
    </row>
    <row r="86" spans="1:7">
      <c r="A86">
        <v>66104.19</v>
      </c>
      <c r="B86">
        <v>5745</v>
      </c>
      <c r="C86">
        <v>95.8</v>
      </c>
      <c r="D86">
        <v>0</v>
      </c>
      <c r="E86">
        <v>714083.68</v>
      </c>
      <c r="F86">
        <f>135425.92+(1.1766945*A86)+(33.661288*B86)+(2924.4894*C86)+(-1027.6873*D86)</f>
        <v>686760.54087995505</v>
      </c>
      <c r="G86">
        <f>E86-F86</f>
        <v>27323.139120045002</v>
      </c>
    </row>
    <row r="87" spans="1:7">
      <c r="A87">
        <v>50043.65</v>
      </c>
      <c r="B87">
        <v>3804</v>
      </c>
      <c r="C87">
        <v>90.9</v>
      </c>
      <c r="D87">
        <v>0</v>
      </c>
      <c r="E87">
        <v>614800.09</v>
      </c>
      <c r="F87">
        <f>135425.92+(1.1766945*A87)+(33.661288*B87)+(2924.4894*C87)+(-1027.6873*D87)</f>
        <v>588195.63372692501</v>
      </c>
      <c r="G87">
        <f>E87-F87</f>
        <v>26604.45627307496</v>
      </c>
    </row>
    <row r="88" spans="1:7">
      <c r="A88">
        <v>36475.71</v>
      </c>
      <c r="B88">
        <v>3559</v>
      </c>
      <c r="C88">
        <v>83.6</v>
      </c>
      <c r="D88">
        <v>0</v>
      </c>
      <c r="E88">
        <v>569100.78</v>
      </c>
      <c r="F88">
        <f>135425.92+(1.1766945*A88)+(33.661288*B88)+(2924.4894*C88)+(-1027.6873*D88)</f>
        <v>542634.52517259493</v>
      </c>
      <c r="G88">
        <f>E88-F88</f>
        <v>26466.254827405093</v>
      </c>
    </row>
    <row r="89" spans="1:7">
      <c r="A89">
        <v>48287.85</v>
      </c>
      <c r="B89">
        <v>5150</v>
      </c>
      <c r="C89">
        <v>80.400000000000006</v>
      </c>
      <c r="D89">
        <v>1</v>
      </c>
      <c r="E89">
        <v>625672.86</v>
      </c>
      <c r="F89">
        <f>135425.92+(1.1766945*A89)+(33.661288*B89)+(2924.4894*C89)+(-1027.6873*D89)</f>
        <v>599702.86117182497</v>
      </c>
      <c r="G89">
        <f>E89-F89</f>
        <v>25969.998828175012</v>
      </c>
    </row>
    <row r="90" spans="1:7">
      <c r="A90">
        <v>68212.289999999994</v>
      </c>
      <c r="B90">
        <v>4713</v>
      </c>
      <c r="C90">
        <v>82.6</v>
      </c>
      <c r="D90">
        <v>0</v>
      </c>
      <c r="E90">
        <v>641564.6</v>
      </c>
      <c r="F90">
        <f>135425.92+(1.1766945*A90)+(33.661288*B90)+(2924.4894*C90)+(-1027.6873*D90)</f>
        <v>615899.42125940497</v>
      </c>
      <c r="G90">
        <f>E90-F90</f>
        <v>25665.178740595002</v>
      </c>
    </row>
    <row r="91" spans="1:7">
      <c r="A91">
        <v>50825.08</v>
      </c>
      <c r="B91">
        <v>8949</v>
      </c>
      <c r="C91">
        <v>84.7</v>
      </c>
      <c r="D91">
        <v>0</v>
      </c>
      <c r="E91">
        <v>769702.76</v>
      </c>
      <c r="F91">
        <f>135425.92+(1.1766945*A91)+(33.661288*B91)+(2924.4894*C91)+(-1027.6873*D91)</f>
        <v>744170.63059006003</v>
      </c>
      <c r="G91">
        <f>E91-F91</f>
        <v>25532.129409939982</v>
      </c>
    </row>
    <row r="92" spans="1:7">
      <c r="A92">
        <v>27398.28</v>
      </c>
      <c r="B92">
        <v>1723</v>
      </c>
      <c r="C92">
        <v>81</v>
      </c>
      <c r="D92">
        <v>0</v>
      </c>
      <c r="E92">
        <v>487738.26</v>
      </c>
      <c r="F92">
        <f>135425.92+(1.1766945*A92)+(33.661288*B92)+(2924.4894*C92)+(-1027.6873*D92)</f>
        <v>462547.36600946001</v>
      </c>
      <c r="G92">
        <f>E92-F92</f>
        <v>25190.893990540004</v>
      </c>
    </row>
    <row r="93" spans="1:7">
      <c r="A93">
        <v>45706.49</v>
      </c>
      <c r="B93">
        <v>6704</v>
      </c>
      <c r="C93">
        <v>94.2</v>
      </c>
      <c r="D93">
        <v>0</v>
      </c>
      <c r="E93">
        <v>715097.57</v>
      </c>
      <c r="F93">
        <f>135425.92+(1.1766945*A93)+(33.661288*B93)+(2924.4894*C93)+(-1027.6873*D93)</f>
        <v>690360.671629305</v>
      </c>
      <c r="G93">
        <f>E93-F93</f>
        <v>24736.898370694951</v>
      </c>
    </row>
    <row r="94" spans="1:7">
      <c r="A94">
        <v>39341.449999999997</v>
      </c>
      <c r="B94">
        <v>1375</v>
      </c>
      <c r="C94">
        <v>95</v>
      </c>
      <c r="D94">
        <v>0</v>
      </c>
      <c r="E94">
        <v>529598.93999999994</v>
      </c>
      <c r="F94">
        <f>135425.92+(1.1766945*A94)+(33.661288*B94)+(2924.4894*C94)+(-1027.6873*D94)</f>
        <v>505829.55183702504</v>
      </c>
      <c r="G94">
        <f>E94-F94</f>
        <v>23769.388162974908</v>
      </c>
    </row>
    <row r="95" spans="1:7">
      <c r="A95">
        <v>73454.539999999994</v>
      </c>
      <c r="B95">
        <v>8129</v>
      </c>
      <c r="C95">
        <v>85.2</v>
      </c>
      <c r="D95">
        <v>0</v>
      </c>
      <c r="E95">
        <v>767792.94</v>
      </c>
      <c r="F95">
        <f>135425.92+(1.1766945*A95)+(33.661288*B95)+(2924.4894*C95)+(-1027.6873*D95)</f>
        <v>744658.58025002992</v>
      </c>
      <c r="G95">
        <f>E95-F95</f>
        <v>23134.359749970026</v>
      </c>
    </row>
    <row r="96" spans="1:7">
      <c r="A96">
        <v>86026.58</v>
      </c>
      <c r="B96">
        <v>7479</v>
      </c>
      <c r="C96">
        <v>89</v>
      </c>
      <c r="D96">
        <v>0</v>
      </c>
      <c r="E96">
        <v>771129.07</v>
      </c>
      <c r="F96">
        <f>135425.92+(1.1766945*A96)+(33.661288*B96)+(2924.4894*C96)+(-1027.6873*D96)</f>
        <v>748685.25309181004</v>
      </c>
      <c r="G96">
        <f>E96-F96</f>
        <v>22443.81690818991</v>
      </c>
    </row>
    <row r="97" spans="1:7">
      <c r="A97">
        <v>58688.26</v>
      </c>
      <c r="B97">
        <v>4022</v>
      </c>
      <c r="C97">
        <v>93.8</v>
      </c>
      <c r="D97">
        <v>0</v>
      </c>
      <c r="E97">
        <v>636613.23</v>
      </c>
      <c r="F97">
        <f>135425.92+(1.1766945*A97)+(33.661288*B97)+(2924.4894*C97)+(-1027.6873*D97)</f>
        <v>614186.87881257001</v>
      </c>
      <c r="G97">
        <f>E97-F97</f>
        <v>22426.351187429973</v>
      </c>
    </row>
    <row r="98" spans="1:7">
      <c r="A98">
        <v>70799.64</v>
      </c>
      <c r="B98">
        <v>10076</v>
      </c>
      <c r="C98">
        <v>84.8</v>
      </c>
      <c r="D98">
        <v>0</v>
      </c>
      <c r="E98">
        <v>828219.67</v>
      </c>
      <c r="F98">
        <f>135425.92+(1.1766945*A98)+(33.661288*B98)+(2924.4894*C98)+(-1027.6873*D98)</f>
        <v>805903.30599797994</v>
      </c>
      <c r="G98">
        <f>E98-F98</f>
        <v>22316.364002020098</v>
      </c>
    </row>
    <row r="99" spans="1:7">
      <c r="A99">
        <v>50198.12</v>
      </c>
      <c r="B99">
        <v>6089</v>
      </c>
      <c r="C99">
        <v>94</v>
      </c>
      <c r="D99">
        <v>0</v>
      </c>
      <c r="E99">
        <v>695098.51</v>
      </c>
      <c r="F99">
        <f>135425.92+(1.1766945*A99)+(33.661288*B99)+(2924.4894*C99)+(-1027.6873*D99)</f>
        <v>674359.35794633999</v>
      </c>
      <c r="G99">
        <f>E99-F99</f>
        <v>20739.152053660015</v>
      </c>
    </row>
    <row r="100" spans="1:7">
      <c r="A100">
        <v>57147.88</v>
      </c>
      <c r="B100">
        <v>5252</v>
      </c>
      <c r="C100">
        <v>95.5</v>
      </c>
      <c r="D100">
        <v>1</v>
      </c>
      <c r="E100">
        <v>678311.17</v>
      </c>
      <c r="F100">
        <f>135425.92+(1.1766945*A100)+(33.661288*B100)+(2924.4894*C100)+(-1027.6873*D100)</f>
        <v>657721.65105866001</v>
      </c>
      <c r="G100">
        <f>E100-F100</f>
        <v>20589.518941340037</v>
      </c>
    </row>
    <row r="101" spans="1:7">
      <c r="A101">
        <v>55388.11</v>
      </c>
      <c r="B101">
        <v>3091</v>
      </c>
      <c r="C101">
        <v>85.4</v>
      </c>
      <c r="D101">
        <v>0</v>
      </c>
      <c r="E101">
        <v>574436.29</v>
      </c>
      <c r="F101">
        <f>135425.92+(1.1766945*A101)+(33.661288*B101)+(2924.4894*C101)+(-1027.6873*D101)</f>
        <v>554399.24037039501</v>
      </c>
      <c r="G101">
        <f>E101-F101</f>
        <v>20037.049629605026</v>
      </c>
    </row>
    <row r="102" spans="1:7">
      <c r="A102">
        <v>66250.53</v>
      </c>
      <c r="B102">
        <v>10618</v>
      </c>
      <c r="C102">
        <v>88.3</v>
      </c>
      <c r="D102">
        <v>0</v>
      </c>
      <c r="E102">
        <v>849018.3</v>
      </c>
      <c r="F102">
        <f>135425.92+(1.1766945*A102)+(33.661288*B102)+(2924.4894*C102)+(-1027.6873*D102)</f>
        <v>829030.52427708497</v>
      </c>
      <c r="G102">
        <f>E102-F102</f>
        <v>19987.775722915074</v>
      </c>
    </row>
    <row r="103" spans="1:7">
      <c r="A103">
        <v>66456.28</v>
      </c>
      <c r="B103">
        <v>9967</v>
      </c>
      <c r="C103">
        <v>94.7</v>
      </c>
      <c r="D103">
        <v>1</v>
      </c>
      <c r="E103">
        <v>844710.67</v>
      </c>
      <c r="F103">
        <f>135425.92+(1.1766945*A103)+(33.661288*B103)+(2924.4894*C103)+(-1027.6873*D103)</f>
        <v>825048.17554245994</v>
      </c>
      <c r="G103">
        <f>E103-F103</f>
        <v>19662.494457540102</v>
      </c>
    </row>
    <row r="104" spans="1:7">
      <c r="A104">
        <v>25818.080000000002</v>
      </c>
      <c r="B104">
        <v>5457</v>
      </c>
      <c r="C104">
        <v>95.4</v>
      </c>
      <c r="D104">
        <v>0</v>
      </c>
      <c r="E104">
        <v>647512.85</v>
      </c>
      <c r="F104">
        <f>135425.92+(1.1766945*A104)+(33.661288*B104)+(2924.4894*C104)+(-1027.6873*D104)</f>
        <v>628491.85011255997</v>
      </c>
      <c r="G104">
        <f>E104-F104</f>
        <v>19020.999887440004</v>
      </c>
    </row>
    <row r="105" spans="1:7">
      <c r="A105">
        <v>42267.37</v>
      </c>
      <c r="B105">
        <v>3364</v>
      </c>
      <c r="C105">
        <v>82</v>
      </c>
      <c r="D105">
        <v>1</v>
      </c>
      <c r="E105">
        <v>555929.4</v>
      </c>
      <c r="F105">
        <f>135425.92+(1.1766945*A105)+(33.661288*B105)+(2924.4894*C105)+(-1027.6873*D105)</f>
        <v>537178.71814046497</v>
      </c>
      <c r="G105">
        <f>E105-F105</f>
        <v>18750.681859535049</v>
      </c>
    </row>
    <row r="106" spans="1:7">
      <c r="A106">
        <v>97480.94</v>
      </c>
      <c r="B106">
        <v>6840</v>
      </c>
      <c r="C106">
        <v>79.2</v>
      </c>
      <c r="D106">
        <v>1</v>
      </c>
      <c r="E106">
        <v>729440.45</v>
      </c>
      <c r="F106">
        <f>135425.92+(1.1766945*A106)+(33.661288*B106)+(2924.4894*C106)+(-1027.6873*D106)</f>
        <v>710966.28905283008</v>
      </c>
      <c r="G106">
        <f>E106-F106</f>
        <v>18474.160947169876</v>
      </c>
    </row>
    <row r="107" spans="1:7">
      <c r="A107">
        <v>75305.710000000006</v>
      </c>
      <c r="B107">
        <v>10940</v>
      </c>
      <c r="C107">
        <v>76.5</v>
      </c>
      <c r="D107">
        <v>0</v>
      </c>
      <c r="E107">
        <v>834017.02</v>
      </c>
      <c r="F107">
        <f>135425.92+(1.1766945*A107)+(33.661288*B107)+(2924.4894*C107)+(-1027.6873*D107)</f>
        <v>816015.66459559498</v>
      </c>
      <c r="G107">
        <f>E107-F107</f>
        <v>18001.35540440504</v>
      </c>
    </row>
    <row r="108" spans="1:7">
      <c r="A108">
        <v>78967.520000000004</v>
      </c>
      <c r="B108">
        <v>6164</v>
      </c>
      <c r="C108">
        <v>85.5</v>
      </c>
      <c r="D108">
        <v>1</v>
      </c>
      <c r="E108">
        <v>702052.47</v>
      </c>
      <c r="F108">
        <f>135425.92+(1.1766945*A108)+(33.661288*B108)+(2924.4894*C108)+(-1027.6873*D108)</f>
        <v>684850.90209463995</v>
      </c>
      <c r="G108">
        <f>E108-F108</f>
        <v>17201.567905360018</v>
      </c>
    </row>
    <row r="109" spans="1:7">
      <c r="A109">
        <v>56602.39</v>
      </c>
      <c r="B109">
        <v>7969</v>
      </c>
      <c r="C109">
        <v>88.3</v>
      </c>
      <c r="D109">
        <v>0</v>
      </c>
      <c r="E109">
        <v>745580.51</v>
      </c>
      <c r="F109">
        <f>135425.92+(1.1766945*A109)+(33.661288*B109)+(2924.4894*C109)+(-1027.6873*D109)</f>
        <v>728508.859091855</v>
      </c>
      <c r="G109">
        <f>E109-F109</f>
        <v>17071.650908145006</v>
      </c>
    </row>
    <row r="110" spans="1:7">
      <c r="A110">
        <v>53546.34</v>
      </c>
      <c r="B110">
        <v>8004</v>
      </c>
      <c r="C110">
        <v>95.2</v>
      </c>
      <c r="D110">
        <v>0</v>
      </c>
      <c r="E110">
        <v>763159.92</v>
      </c>
      <c r="F110">
        <f>135425.92+(1.1766945*A110)+(33.661288*B110)+(2924.4894*C110)+(-1027.6873*D110)</f>
        <v>746269.94380512997</v>
      </c>
      <c r="G110">
        <f>E110-F110</f>
        <v>16889.976194870076</v>
      </c>
    </row>
    <row r="111" spans="1:7">
      <c r="A111">
        <v>43319.94</v>
      </c>
      <c r="B111">
        <v>6551</v>
      </c>
      <c r="C111">
        <v>99</v>
      </c>
      <c r="D111">
        <v>0</v>
      </c>
      <c r="E111">
        <v>712868.35</v>
      </c>
      <c r="F111">
        <f>135425.92+(1.1766945*A111)+(33.661288*B111)+(2924.4894*C111)+(-1027.6873*D111)</f>
        <v>696439.80342632998</v>
      </c>
      <c r="G111">
        <f>E111-F111</f>
        <v>16428.546573669999</v>
      </c>
    </row>
    <row r="112" spans="1:7">
      <c r="A112">
        <v>49710.29</v>
      </c>
      <c r="B112">
        <v>5559</v>
      </c>
      <c r="C112">
        <v>71</v>
      </c>
      <c r="D112">
        <v>1</v>
      </c>
      <c r="E112">
        <v>603297.56999999995</v>
      </c>
      <c r="F112">
        <f>135425.92+(1.1766945*A112)+(33.661288*B112)+(2924.4894*C112)+(-1027.6873*D112)</f>
        <v>587653.90492840495</v>
      </c>
      <c r="G112">
        <f>E112-F112</f>
        <v>15643.665071594995</v>
      </c>
    </row>
    <row r="113" spans="1:7">
      <c r="A113">
        <v>81801.8</v>
      </c>
      <c r="B113">
        <v>6782</v>
      </c>
      <c r="C113">
        <v>99</v>
      </c>
      <c r="D113">
        <v>0</v>
      </c>
      <c r="E113">
        <v>764949</v>
      </c>
      <c r="F113">
        <f>135425.92+(1.1766945*A113)+(33.661288*B113)+(2924.4894*C113)+(-1027.6873*D113)</f>
        <v>749496.9539661</v>
      </c>
      <c r="G113">
        <f>E113-F113</f>
        <v>15452.046033899998</v>
      </c>
    </row>
    <row r="114" spans="1:7">
      <c r="A114">
        <v>78432.14</v>
      </c>
      <c r="B114">
        <v>9440</v>
      </c>
      <c r="C114">
        <v>89.2</v>
      </c>
      <c r="D114">
        <v>1</v>
      </c>
      <c r="E114">
        <v>820729.29</v>
      </c>
      <c r="F114">
        <f>135425.92+(1.1766945*A114)+(33.661288*B114)+(2924.4894*C114)+(-1027.6873*D114)</f>
        <v>805315.91366123001</v>
      </c>
      <c r="G114">
        <f>E114-F114</f>
        <v>15413.376338770031</v>
      </c>
    </row>
    <row r="115" spans="1:7">
      <c r="A115">
        <v>62507.16</v>
      </c>
      <c r="B115">
        <v>6000</v>
      </c>
      <c r="C115">
        <v>98.2</v>
      </c>
      <c r="D115">
        <v>1</v>
      </c>
      <c r="E115">
        <v>712375.77</v>
      </c>
      <c r="F115">
        <f>135425.92+(1.1766945*A115)+(33.661288*B115)+(2924.4894*C115)+(-1027.6873*D115)</f>
        <v>697102.65116262005</v>
      </c>
      <c r="G115">
        <f>E115-F115</f>
        <v>15273.118837379967</v>
      </c>
    </row>
    <row r="116" spans="1:7">
      <c r="A116">
        <v>52715.1</v>
      </c>
      <c r="B116">
        <v>7223</v>
      </c>
      <c r="C116">
        <v>84.2</v>
      </c>
      <c r="D116">
        <v>0</v>
      </c>
      <c r="E116">
        <v>701641.97</v>
      </c>
      <c r="F116">
        <f>135425.92+(1.1766945*A116)+(33.661288*B116)+(2924.4894*C116)+(-1027.6873*D116)</f>
        <v>686832.97894095001</v>
      </c>
      <c r="G116">
        <f>E116-F116</f>
        <v>14808.991059049964</v>
      </c>
    </row>
    <row r="117" spans="1:7">
      <c r="A117">
        <v>16451.849999999999</v>
      </c>
      <c r="B117">
        <v>4678</v>
      </c>
      <c r="C117">
        <v>95.9</v>
      </c>
      <c r="D117">
        <v>1</v>
      </c>
      <c r="E117">
        <v>606278.30000000005</v>
      </c>
      <c r="F117">
        <f>135425.92+(1.1766945*A117)+(33.661288*B117)+(2924.4894*C117)+(-1027.6873*D117)</f>
        <v>591683.07283382502</v>
      </c>
      <c r="G117">
        <f>E117-F117</f>
        <v>14595.227166175027</v>
      </c>
    </row>
    <row r="118" spans="1:7">
      <c r="A118">
        <v>64882.14</v>
      </c>
      <c r="B118">
        <v>3642</v>
      </c>
      <c r="C118">
        <v>87.8</v>
      </c>
      <c r="D118">
        <v>0</v>
      </c>
      <c r="E118">
        <v>605178</v>
      </c>
      <c r="F118">
        <f>135425.92+(1.1766945*A118)+(33.661288*B118)+(2924.4894*C118)+(-1027.6873*D118)</f>
        <v>591136.95750223007</v>
      </c>
      <c r="G118">
        <f>E118-F118</f>
        <v>14041.042497769929</v>
      </c>
    </row>
    <row r="119" spans="1:7">
      <c r="A119">
        <v>46123.88</v>
      </c>
      <c r="B119">
        <v>3227</v>
      </c>
      <c r="C119">
        <v>75.400000000000006</v>
      </c>
      <c r="D119">
        <v>0</v>
      </c>
      <c r="E119">
        <v>532644.46</v>
      </c>
      <c r="F119">
        <f>135425.92+(1.1766945*A119)+(33.661288*B119)+(2924.4894*C119)+(-1027.6873*D119)</f>
        <v>518831.11305066</v>
      </c>
      <c r="G119">
        <f>E119-F119</f>
        <v>13813.346949339961</v>
      </c>
    </row>
    <row r="120" spans="1:7">
      <c r="A120">
        <v>70012.41</v>
      </c>
      <c r="B120">
        <v>8484</v>
      </c>
      <c r="C120">
        <v>72.900000000000006</v>
      </c>
      <c r="D120">
        <v>0</v>
      </c>
      <c r="E120">
        <v>729424.42</v>
      </c>
      <c r="F120">
        <f>135425.92+(1.1766945*A120)+(33.661288*B120)+(2924.4894*C120)+(-1027.6873*D120)</f>
        <v>716586.78243074496</v>
      </c>
      <c r="G120">
        <f>E120-F120</f>
        <v>12837.637569255079</v>
      </c>
    </row>
    <row r="121" spans="1:7">
      <c r="A121">
        <v>40923.67</v>
      </c>
      <c r="B121">
        <v>3875</v>
      </c>
      <c r="C121">
        <v>96.1</v>
      </c>
      <c r="D121">
        <v>1</v>
      </c>
      <c r="E121">
        <v>606783.67000000004</v>
      </c>
      <c r="F121">
        <f>135425.92+(1.1766945*A121)+(33.661288*B121)+(2924.4894*C121)+(-1027.6873*D121)</f>
        <v>594033.81244881498</v>
      </c>
      <c r="G121">
        <f>E121-F121</f>
        <v>12749.857551185065</v>
      </c>
    </row>
    <row r="122" spans="1:7">
      <c r="A122">
        <v>26248.1</v>
      </c>
      <c r="B122">
        <v>9314</v>
      </c>
      <c r="C122">
        <v>83.7</v>
      </c>
      <c r="D122">
        <v>0</v>
      </c>
      <c r="E122">
        <v>737070.18</v>
      </c>
      <c r="F122">
        <f>135425.92+(1.1766945*A122)+(33.661288*B122)+(2924.4894*C122)+(-1027.6873*D122)</f>
        <v>724612.91411745001</v>
      </c>
      <c r="G122">
        <f>E122-F122</f>
        <v>12457.26588255004</v>
      </c>
    </row>
    <row r="123" spans="1:7">
      <c r="A123">
        <v>44189.34</v>
      </c>
      <c r="B123">
        <v>8634</v>
      </c>
      <c r="C123">
        <v>87.5</v>
      </c>
      <c r="D123">
        <v>0</v>
      </c>
      <c r="E123">
        <v>746115.59</v>
      </c>
      <c r="F123">
        <f>135425.92+(1.1766945*A123)+(33.661288*B123)+(2924.4894*C123)+(-1027.6873*D123)</f>
        <v>733947.65642863</v>
      </c>
      <c r="G123">
        <f>E123-F123</f>
        <v>12167.933571369969</v>
      </c>
    </row>
    <row r="124" spans="1:7">
      <c r="A124">
        <v>44211.95</v>
      </c>
      <c r="B124">
        <v>5465</v>
      </c>
      <c r="C124">
        <v>90</v>
      </c>
      <c r="D124">
        <v>0</v>
      </c>
      <c r="E124">
        <v>646559.71</v>
      </c>
      <c r="F124">
        <f>135425.92+(1.1766945*A124)+(33.661288*B124)+(2924.4894*C124)+(-1027.6873*D124)</f>
        <v>634612.86331927497</v>
      </c>
      <c r="G124">
        <f>E124-F124</f>
        <v>11946.846680724993</v>
      </c>
    </row>
    <row r="125" spans="1:7">
      <c r="A125">
        <v>40102.879999999997</v>
      </c>
      <c r="B125">
        <v>2358</v>
      </c>
      <c r="C125">
        <v>88.7</v>
      </c>
      <c r="D125">
        <v>0</v>
      </c>
      <c r="E125">
        <v>533121.26</v>
      </c>
      <c r="F125">
        <f>135425.92+(1.1766945*A125)+(33.661288*B125)+(2924.4894*C125)+(-1027.6873*D125)</f>
        <v>521390.28521415999</v>
      </c>
      <c r="G125">
        <f>E125-F125</f>
        <v>11730.974785840022</v>
      </c>
    </row>
    <row r="126" spans="1:7">
      <c r="A126">
        <v>46213.45</v>
      </c>
      <c r="B126">
        <v>10616</v>
      </c>
      <c r="C126">
        <v>85.2</v>
      </c>
      <c r="D126">
        <v>0</v>
      </c>
      <c r="E126">
        <v>806615.54</v>
      </c>
      <c r="F126">
        <f>135425.92+(1.1766945*A126)+(33.661288*B126)+(2924.4894*C126)+(-1027.6873*D126)</f>
        <v>796319.76272902498</v>
      </c>
      <c r="G126">
        <f>E126-F126</f>
        <v>10295.777270975057</v>
      </c>
    </row>
    <row r="127" spans="1:7">
      <c r="A127">
        <v>62582.71</v>
      </c>
      <c r="B127">
        <v>5479</v>
      </c>
      <c r="C127">
        <v>81.2</v>
      </c>
      <c r="D127">
        <v>0</v>
      </c>
      <c r="E127">
        <v>640666.53</v>
      </c>
      <c r="F127">
        <f>135425.92+(1.1766945*A127)+(33.661288*B127)+(2924.4894*C127)+(-1027.6873*D127)</f>
        <v>630965.38688409503</v>
      </c>
      <c r="G127">
        <f>E127-F127</f>
        <v>9701.1431159049971</v>
      </c>
    </row>
    <row r="128" spans="1:7">
      <c r="A128">
        <v>14519.37</v>
      </c>
      <c r="B128">
        <v>3047</v>
      </c>
      <c r="C128">
        <v>90.3</v>
      </c>
      <c r="D128">
        <v>0</v>
      </c>
      <c r="E128">
        <v>528852.62</v>
      </c>
      <c r="F128">
        <f>135425.92+(1.1766945*A128)+(33.661288*B128)+(2924.4894*C128)+(-1027.6873*D128)</f>
        <v>519158.12017846503</v>
      </c>
      <c r="G128">
        <f>E128-F128</f>
        <v>9694.4998215349624</v>
      </c>
    </row>
    <row r="129" spans="1:7">
      <c r="A129">
        <v>47391.09</v>
      </c>
      <c r="B129">
        <v>11224</v>
      </c>
      <c r="C129">
        <v>88.4</v>
      </c>
      <c r="D129">
        <v>0</v>
      </c>
      <c r="E129">
        <v>836908.24</v>
      </c>
      <c r="F129">
        <f>135425.92+(1.1766945*A129)+(33.661288*B129)+(2924.4894*C129)+(-1027.6873*D129)</f>
        <v>827529.91442400496</v>
      </c>
      <c r="G129">
        <f>E129-F129</f>
        <v>9378.3255759950262</v>
      </c>
    </row>
    <row r="130" spans="1:7">
      <c r="A130">
        <v>69411.7</v>
      </c>
      <c r="B130">
        <v>5493</v>
      </c>
      <c r="C130">
        <v>86.5</v>
      </c>
      <c r="D130">
        <v>0</v>
      </c>
      <c r="E130">
        <v>664162.49</v>
      </c>
      <c r="F130">
        <f>135425.92+(1.1766945*A130)+(33.661288*B130)+(2924.4894*C130)+(-1027.6873*D130)</f>
        <v>654972.07370964997</v>
      </c>
      <c r="G130">
        <f>E130-F130</f>
        <v>9190.4162903500255</v>
      </c>
    </row>
    <row r="131" spans="1:7">
      <c r="A131">
        <v>76942.2</v>
      </c>
      <c r="B131">
        <v>8934</v>
      </c>
      <c r="C131">
        <v>91</v>
      </c>
      <c r="D131">
        <v>0</v>
      </c>
      <c r="E131">
        <v>802001.68</v>
      </c>
      <c r="F131">
        <f>135425.92+(1.1766945*A131)+(33.661288*B131)+(2924.4894*C131)+(-1027.6873*D131)</f>
        <v>792821.86594989989</v>
      </c>
      <c r="G131">
        <f>E131-F131</f>
        <v>9179.8140501001617</v>
      </c>
    </row>
    <row r="132" spans="1:7">
      <c r="A132">
        <v>50532.17</v>
      </c>
      <c r="B132">
        <v>5689</v>
      </c>
      <c r="C132">
        <v>85.6</v>
      </c>
      <c r="D132">
        <v>0</v>
      </c>
      <c r="E132">
        <v>645039.97</v>
      </c>
      <c r="F132">
        <f>135425.92+(1.1766945*A132)+(33.661288*B132)+(2924.4894*C132)+(-1027.6873*D132)</f>
        <v>636722.20658406499</v>
      </c>
      <c r="G132">
        <f>E132-F132</f>
        <v>8317.7634159349836</v>
      </c>
    </row>
    <row r="133" spans="1:7">
      <c r="A133">
        <v>42018.400000000001</v>
      </c>
      <c r="B133">
        <v>8296</v>
      </c>
      <c r="C133">
        <v>91.8</v>
      </c>
      <c r="D133">
        <v>0</v>
      </c>
      <c r="E133">
        <v>740496.65</v>
      </c>
      <c r="F133">
        <f>135425.92+(1.1766945*A133)+(33.661288*B133)+(2924.4894*C133)+(-1027.6873*D133)</f>
        <v>732590.91234680009</v>
      </c>
      <c r="G133">
        <f>E133-F133</f>
        <v>7905.7376531999325</v>
      </c>
    </row>
    <row r="134" spans="1:7">
      <c r="A134">
        <v>40462.94</v>
      </c>
      <c r="B134">
        <v>3660</v>
      </c>
      <c r="C134">
        <v>95.2</v>
      </c>
      <c r="D134">
        <v>0</v>
      </c>
      <c r="E134">
        <v>592195.85</v>
      </c>
      <c r="F134">
        <f>135425.92+(1.1766945*A134)+(33.661288*B134)+(2924.4894*C134)+(-1027.6873*D134)</f>
        <v>584650.14391183003</v>
      </c>
      <c r="G134">
        <f>E134-F134</f>
        <v>7545.7060881699435</v>
      </c>
    </row>
    <row r="135" spans="1:7">
      <c r="A135">
        <v>65012.19</v>
      </c>
      <c r="B135">
        <v>9598</v>
      </c>
      <c r="C135">
        <v>98.3</v>
      </c>
      <c r="D135">
        <v>1</v>
      </c>
      <c r="E135">
        <v>828623.85</v>
      </c>
      <c r="F135">
        <f>135425.92+(1.1766945*A135)+(33.661288*B135)+(2924.4894*C135)+(-1027.6873*D135)</f>
        <v>821456.06934995507</v>
      </c>
      <c r="G135">
        <f>E135-F135</f>
        <v>7167.7806500449078</v>
      </c>
    </row>
    <row r="136" spans="1:7">
      <c r="A136">
        <v>72784.800000000003</v>
      </c>
      <c r="B136">
        <v>7932</v>
      </c>
      <c r="C136">
        <v>74.900000000000006</v>
      </c>
      <c r="D136">
        <v>1</v>
      </c>
      <c r="E136">
        <v>712546.38</v>
      </c>
      <c r="F136">
        <f>135425.92+(1.1766945*A136)+(33.661288*B136)+(2924.4894*C136)+(-1027.6873*D136)</f>
        <v>706089.29901960003</v>
      </c>
      <c r="G136">
        <f>E136-F136</f>
        <v>6457.0809803999728</v>
      </c>
    </row>
    <row r="137" spans="1:7">
      <c r="A137">
        <v>64374.75</v>
      </c>
      <c r="B137">
        <v>6740</v>
      </c>
      <c r="C137">
        <v>87</v>
      </c>
      <c r="D137">
        <v>0</v>
      </c>
      <c r="E137">
        <v>698492.67</v>
      </c>
      <c r="F137">
        <f>135425.92+(1.1766945*A137)+(33.661288*B137)+(2924.4894*C137)+(-1027.6873*D137)</f>
        <v>692482.99318387499</v>
      </c>
      <c r="G137">
        <f>E137-F137</f>
        <v>6009.6768161250511</v>
      </c>
    </row>
    <row r="138" spans="1:7">
      <c r="A138">
        <v>42093.84</v>
      </c>
      <c r="B138">
        <v>4074</v>
      </c>
      <c r="C138">
        <v>88</v>
      </c>
      <c r="D138">
        <v>0</v>
      </c>
      <c r="E138">
        <v>585365.73</v>
      </c>
      <c r="F138">
        <f>135425.92+(1.1766945*A138)+(33.661288*B138)+(2924.4894*C138)+(-1027.6873*D138)</f>
        <v>579448.66452388</v>
      </c>
      <c r="G138">
        <f>E138-F138</f>
        <v>5917.0654761199839</v>
      </c>
    </row>
    <row r="139" spans="1:7">
      <c r="A139">
        <v>57225.98</v>
      </c>
      <c r="B139">
        <v>2842</v>
      </c>
      <c r="C139">
        <v>79.5</v>
      </c>
      <c r="D139">
        <v>0</v>
      </c>
      <c r="E139">
        <v>536545.49</v>
      </c>
      <c r="F139">
        <f>135425.92+(1.1766945*A139)+(33.661288*B139)+(2924.4894*C139)+(-1027.6873*D139)</f>
        <v>530925.70371911</v>
      </c>
      <c r="G139">
        <f>E139-F139</f>
        <v>5619.7862808899954</v>
      </c>
    </row>
    <row r="140" spans="1:7">
      <c r="A140">
        <v>63457.19</v>
      </c>
      <c r="B140">
        <v>10125</v>
      </c>
      <c r="C140">
        <v>87</v>
      </c>
      <c r="D140">
        <v>0</v>
      </c>
      <c r="E140">
        <v>810446.53</v>
      </c>
      <c r="F140">
        <f>135425.92+(1.1766945*A140)+(33.661288*B140)+(2924.4894*C140)+(-1027.6873*D140)</f>
        <v>805346.76525845495</v>
      </c>
      <c r="G140">
        <f>E140-F140</f>
        <v>5099.7647415450774</v>
      </c>
    </row>
    <row r="141" spans="1:7">
      <c r="A141">
        <v>55788.61</v>
      </c>
      <c r="B141">
        <v>2312</v>
      </c>
      <c r="C141">
        <v>91.3</v>
      </c>
      <c r="D141">
        <v>0</v>
      </c>
      <c r="E141">
        <v>550962.93000000005</v>
      </c>
      <c r="F141">
        <f>135425.92+(1.1766945*A141)+(33.661288*B141)+(2924.4894*C141)+(-1027.6873*D141)</f>
        <v>545902.8506256449</v>
      </c>
      <c r="G141">
        <f>E141-F141</f>
        <v>5060.0793743551476</v>
      </c>
    </row>
    <row r="142" spans="1:7">
      <c r="A142">
        <v>33987.33</v>
      </c>
      <c r="B142">
        <v>5014</v>
      </c>
      <c r="C142">
        <v>94.3</v>
      </c>
      <c r="D142">
        <v>1</v>
      </c>
      <c r="E142">
        <v>622892.42000000004</v>
      </c>
      <c r="F142">
        <f>135425.92+(1.1766945*A142)+(33.661288*B142)+(2924.4894*C142)+(-1027.6873*D142)</f>
        <v>618947.985432685</v>
      </c>
      <c r="G142">
        <f>E142-F142</f>
        <v>3944.4345673150383</v>
      </c>
    </row>
    <row r="143" spans="1:7">
      <c r="A143">
        <v>38752.800000000003</v>
      </c>
      <c r="B143">
        <v>4712</v>
      </c>
      <c r="C143">
        <v>89.7</v>
      </c>
      <c r="D143">
        <v>0</v>
      </c>
      <c r="E143">
        <v>605775.32999999996</v>
      </c>
      <c r="F143">
        <f>135425.92+(1.1766945*A143)+(33.661288*B143)+(2924.4894*C143)+(-1027.6873*D143)</f>
        <v>601964.81485560001</v>
      </c>
      <c r="G143">
        <f>E143-F143</f>
        <v>3810.5151443999493</v>
      </c>
    </row>
    <row r="144" spans="1:7">
      <c r="A144">
        <v>59825.51</v>
      </c>
      <c r="B144">
        <v>1231</v>
      </c>
      <c r="C144">
        <v>84.8</v>
      </c>
      <c r="D144">
        <v>0</v>
      </c>
      <c r="E144">
        <v>498970.32</v>
      </c>
      <c r="F144">
        <f>135425.92+(1.1766945*A144)+(33.661288*B144)+(2924.4894*C144)+(-1027.6873*D144)</f>
        <v>495256.01522469497</v>
      </c>
      <c r="G144">
        <f>E144-F144</f>
        <v>3714.3047753050341</v>
      </c>
    </row>
    <row r="145" spans="1:7">
      <c r="A145">
        <v>53367.73</v>
      </c>
      <c r="B145">
        <v>7291</v>
      </c>
      <c r="C145">
        <v>90.6</v>
      </c>
      <c r="D145">
        <v>0</v>
      </c>
      <c r="E145">
        <v>712219.81</v>
      </c>
      <c r="F145">
        <f>135425.92+(1.1766945*A145)+(33.661288*B145)+(2924.4894*C145)+(-1027.6873*D145)</f>
        <v>708606.62481648498</v>
      </c>
      <c r="G145">
        <f>E145-F145</f>
        <v>3613.1851835150737</v>
      </c>
    </row>
    <row r="146" spans="1:7">
      <c r="A146">
        <v>43288.2</v>
      </c>
      <c r="B146">
        <v>4783</v>
      </c>
      <c r="C146">
        <v>87.3</v>
      </c>
      <c r="D146">
        <v>0</v>
      </c>
      <c r="E146">
        <v>605751.32999999996</v>
      </c>
      <c r="F146">
        <f>135425.92+(1.1766945*A146)+(33.661288*B146)+(2924.4894*C146)+(-1027.6873*D146)</f>
        <v>602672.77197889995</v>
      </c>
      <c r="G146">
        <f>E146-F146</f>
        <v>3078.5580211000051</v>
      </c>
    </row>
    <row r="147" spans="1:7">
      <c r="A147">
        <v>19365.060000000001</v>
      </c>
      <c r="B147">
        <v>2378</v>
      </c>
      <c r="C147">
        <v>94.8</v>
      </c>
      <c r="D147">
        <v>0</v>
      </c>
      <c r="E147">
        <v>518049.26</v>
      </c>
      <c r="F147">
        <f>135425.92+(1.1766945*A147)+(33.661288*B147)+(2924.4894*C147)+(-1027.6873*D147)</f>
        <v>515500.81757817004</v>
      </c>
      <c r="G147">
        <f>E147-F147</f>
        <v>2548.4424218299682</v>
      </c>
    </row>
    <row r="148" spans="1:7">
      <c r="A148">
        <v>68491.11</v>
      </c>
      <c r="B148">
        <v>11154</v>
      </c>
      <c r="C148">
        <v>89.4</v>
      </c>
      <c r="D148">
        <v>0</v>
      </c>
      <c r="E148">
        <v>855341.28</v>
      </c>
      <c r="F148">
        <f>135425.92+(1.1766945*A148)+(33.661288*B148)+(2924.4894*C148)+(-1027.6873*D148)</f>
        <v>852926.39114789502</v>
      </c>
      <c r="G148">
        <f>E148-F148</f>
        <v>2414.8888521050103</v>
      </c>
    </row>
    <row r="149" spans="1:7">
      <c r="A149">
        <v>61132.07</v>
      </c>
      <c r="B149">
        <v>6394</v>
      </c>
      <c r="C149">
        <v>91</v>
      </c>
      <c r="D149">
        <v>0</v>
      </c>
      <c r="E149">
        <v>691113.62</v>
      </c>
      <c r="F149">
        <f>135425.92+(1.1766945*A149)+(33.661288*B149)+(2924.4894*C149)+(-1027.6873*D149)</f>
        <v>688718.50141461496</v>
      </c>
      <c r="G149">
        <f>E149-F149</f>
        <v>2395.1185853850329</v>
      </c>
    </row>
    <row r="150" spans="1:7">
      <c r="A150">
        <v>37828.5</v>
      </c>
      <c r="B150">
        <v>8221</v>
      </c>
      <c r="C150">
        <v>81.5</v>
      </c>
      <c r="D150">
        <v>0</v>
      </c>
      <c r="E150">
        <v>697155.3</v>
      </c>
      <c r="F150">
        <f>135425.92+(1.1766945*A150)+(33.661288*B150)+(2924.4894*C150)+(-1027.6873*D150)</f>
        <v>695013.84264125</v>
      </c>
      <c r="G150">
        <f>E150-F150</f>
        <v>2141.457358750049</v>
      </c>
    </row>
    <row r="151" spans="1:7">
      <c r="A151">
        <v>63986.98</v>
      </c>
      <c r="B151">
        <v>7989</v>
      </c>
      <c r="C151">
        <v>83.3</v>
      </c>
      <c r="D151">
        <v>1</v>
      </c>
      <c r="E151">
        <v>724346.73</v>
      </c>
      <c r="F151">
        <f>135425.92+(1.1766945*A151)+(33.661288*B151)+(2924.4894*C151)+(-1027.6873*D151)</f>
        <v>722221.35698961001</v>
      </c>
      <c r="G151">
        <f>E151-F151</f>
        <v>2125.3730103899725</v>
      </c>
    </row>
    <row r="152" spans="1:7">
      <c r="A152">
        <v>18599.21</v>
      </c>
      <c r="B152">
        <v>3027</v>
      </c>
      <c r="C152">
        <v>80.900000000000006</v>
      </c>
      <c r="D152">
        <v>0</v>
      </c>
      <c r="E152">
        <v>497439.82</v>
      </c>
      <c r="F152">
        <f>135425.92+(1.1766945*A152)+(33.661288*B152)+(2924.4894*C152)+(-1027.6873*D152)</f>
        <v>495795.41934734501</v>
      </c>
      <c r="G152">
        <f>E152-F152</f>
        <v>1644.4006526549929</v>
      </c>
    </row>
    <row r="153" spans="1:7">
      <c r="A153">
        <v>48060.78</v>
      </c>
      <c r="B153">
        <v>8733</v>
      </c>
      <c r="C153">
        <v>89.9</v>
      </c>
      <c r="D153">
        <v>0</v>
      </c>
      <c r="E153">
        <v>750471.34</v>
      </c>
      <c r="F153">
        <f>135425.92+(1.1766945*A153)+(33.661288*B153)+(2924.4894*C153)+(-1027.6873*D153)</f>
        <v>748854.40065570991</v>
      </c>
      <c r="G153">
        <f>E153-F153</f>
        <v>1616.9393442900619</v>
      </c>
    </row>
    <row r="154" spans="1:7">
      <c r="A154">
        <v>47944.14</v>
      </c>
      <c r="B154">
        <v>6169</v>
      </c>
      <c r="C154">
        <v>92.2</v>
      </c>
      <c r="D154">
        <v>0</v>
      </c>
      <c r="E154">
        <v>670629.48</v>
      </c>
      <c r="F154">
        <f>135425.92+(1.1766945*A154)+(33.661288*B154)+(2924.4894*C154)+(-1027.6873*D154)</f>
        <v>669135.93419723003</v>
      </c>
      <c r="G154">
        <f>E154-F154</f>
        <v>1493.5458027699497</v>
      </c>
    </row>
    <row r="155" spans="1:7">
      <c r="A155">
        <v>60571.82</v>
      </c>
      <c r="B155">
        <v>3193</v>
      </c>
      <c r="C155">
        <v>99</v>
      </c>
      <c r="D155">
        <v>0</v>
      </c>
      <c r="E155">
        <v>605023.87</v>
      </c>
      <c r="F155">
        <f>135425.92+(1.1766945*A155)+(33.661288*B155)+(2924.4894*C155)+(-1027.6873*D155)</f>
        <v>603705.39063299005</v>
      </c>
      <c r="G155">
        <f>E155-F155</f>
        <v>1318.4793670099461</v>
      </c>
    </row>
    <row r="156" spans="1:7">
      <c r="A156">
        <v>62060.43</v>
      </c>
      <c r="B156">
        <v>2613</v>
      </c>
      <c r="C156">
        <v>92.1</v>
      </c>
      <c r="D156">
        <v>1</v>
      </c>
      <c r="E156">
        <v>565810.99</v>
      </c>
      <c r="F156">
        <f>135425.92+(1.1766945*A156)+(33.661288*B156)+(2924.4894*C156)+(-1027.6873*D156)</f>
        <v>564726.81863263494</v>
      </c>
      <c r="G156">
        <f>E156-F156</f>
        <v>1084.171367365052</v>
      </c>
    </row>
    <row r="157" spans="1:7">
      <c r="A157">
        <v>55270.52</v>
      </c>
      <c r="B157">
        <v>9315</v>
      </c>
      <c r="C157">
        <v>91.9</v>
      </c>
      <c r="D157">
        <v>0</v>
      </c>
      <c r="E157">
        <v>783672.82</v>
      </c>
      <c r="F157">
        <f>135425.92+(1.1766945*A157)+(33.661288*B157)+(2924.4894*C157)+(-1027.6873*D157)</f>
        <v>782777.91047613998</v>
      </c>
      <c r="G157">
        <f>E157-F157</f>
        <v>894.90952385996934</v>
      </c>
    </row>
    <row r="158" spans="1:7">
      <c r="A158">
        <v>78231.91</v>
      </c>
      <c r="B158">
        <v>3788</v>
      </c>
      <c r="C158">
        <v>88.5</v>
      </c>
      <c r="D158">
        <v>0</v>
      </c>
      <c r="E158">
        <v>614596.31999999995</v>
      </c>
      <c r="F158">
        <f>135425.92+(1.1766945*A158)+(33.661288*B158)+(2924.4894*C158)+(-1027.6873*D158)</f>
        <v>613807.24906549498</v>
      </c>
      <c r="G158">
        <f>E158-F158</f>
        <v>789.07093450496905</v>
      </c>
    </row>
    <row r="159" spans="1:7">
      <c r="A159">
        <v>52843.75</v>
      </c>
      <c r="B159">
        <v>8268</v>
      </c>
      <c r="C159">
        <v>87.3</v>
      </c>
      <c r="D159">
        <v>1</v>
      </c>
      <c r="E159">
        <v>730890.01</v>
      </c>
      <c r="F159">
        <f>135425.92+(1.1766945*A159)+(33.661288*B159)+(2924.4894*C159)+(-1027.6873*D159)</f>
        <v>730198.63648837502</v>
      </c>
      <c r="G159">
        <f>E159-F159</f>
        <v>691.37351162498817</v>
      </c>
    </row>
    <row r="160" spans="1:7">
      <c r="A160">
        <v>55371.97</v>
      </c>
      <c r="B160">
        <v>4162</v>
      </c>
      <c r="C160">
        <v>92</v>
      </c>
      <c r="D160">
        <v>0</v>
      </c>
      <c r="E160">
        <v>609949</v>
      </c>
      <c r="F160">
        <f>135425.92+(1.1766945*A160)+(33.661288*B160)+(2924.4894*C160)+(-1027.6873*D160)</f>
        <v>609733.11800916505</v>
      </c>
      <c r="G160">
        <f>E160-F160</f>
        <v>215.88199083495419</v>
      </c>
    </row>
    <row r="161" spans="1:7">
      <c r="A161">
        <v>31042.03</v>
      </c>
      <c r="B161">
        <v>7107</v>
      </c>
      <c r="C161">
        <v>87</v>
      </c>
      <c r="D161">
        <v>0</v>
      </c>
      <c r="E161">
        <v>665594.93999999994</v>
      </c>
      <c r="F161">
        <f>135425.92+(1.1766945*A161)+(33.661288*B161)+(2924.4894*C161)+(-1027.6873*D161)</f>
        <v>665614.25758583494</v>
      </c>
      <c r="G161">
        <f>E161-F161</f>
        <v>-19.3175858350005</v>
      </c>
    </row>
    <row r="162" spans="1:7">
      <c r="A162">
        <v>66870.62</v>
      </c>
      <c r="B162">
        <v>6055</v>
      </c>
      <c r="C162">
        <v>93.8</v>
      </c>
      <c r="D162">
        <v>0</v>
      </c>
      <c r="E162">
        <v>692008.64</v>
      </c>
      <c r="F162">
        <f>135425.92+(1.1766945*A162)+(33.661288*B162)+(2924.4894*C162)+(-1027.6873*D162)</f>
        <v>692248.41532558994</v>
      </c>
      <c r="G162">
        <f>E162-F162</f>
        <v>-239.77532558992971</v>
      </c>
    </row>
    <row r="163" spans="1:7">
      <c r="A163">
        <v>24088.06</v>
      </c>
      <c r="B163">
        <v>3466</v>
      </c>
      <c r="C163">
        <v>88</v>
      </c>
      <c r="D163">
        <v>0</v>
      </c>
      <c r="E163">
        <v>536845.42000000004</v>
      </c>
      <c r="F163">
        <f>135425.92+(1.1766945*A163)+(33.661288*B163)+(2924.4894*C163)+(-1027.6873*D163)</f>
        <v>537795.29912566999</v>
      </c>
      <c r="G163">
        <f>E163-F163</f>
        <v>-949.87912566994783</v>
      </c>
    </row>
    <row r="164" spans="1:7">
      <c r="A164">
        <v>43685.14</v>
      </c>
      <c r="B164">
        <v>7821</v>
      </c>
      <c r="C164">
        <v>91</v>
      </c>
      <c r="D164">
        <v>0</v>
      </c>
      <c r="E164">
        <v>714942.43</v>
      </c>
      <c r="F164">
        <f>135425.92+(1.1766945*A164)+(33.661288*B164)+(2924.4894*C164)+(-1027.6873*D164)</f>
        <v>716223.45281772991</v>
      </c>
      <c r="G164">
        <f>E164-F164</f>
        <v>-1281.0228177298559</v>
      </c>
    </row>
    <row r="165" spans="1:7">
      <c r="A165">
        <v>86883.31</v>
      </c>
      <c r="B165">
        <v>6424</v>
      </c>
      <c r="C165">
        <v>85.2</v>
      </c>
      <c r="D165">
        <v>1</v>
      </c>
      <c r="E165">
        <v>700078.32</v>
      </c>
      <c r="F165">
        <f>135425.92+(1.1766945*A165)+(33.661288*B165)+(2924.4894*C165)+(-1027.6873*D165)</f>
        <v>702039.95671079506</v>
      </c>
      <c r="G165">
        <f>E165-F165</f>
        <v>-1961.6367107951082</v>
      </c>
    </row>
    <row r="166" spans="1:7">
      <c r="A166">
        <v>74679.350000000006</v>
      </c>
      <c r="B166">
        <v>8739</v>
      </c>
      <c r="C166">
        <v>91.8</v>
      </c>
      <c r="D166">
        <v>0</v>
      </c>
      <c r="E166">
        <v>783797.89</v>
      </c>
      <c r="F166">
        <f>135425.92+(1.1766945*A166)+(33.661288*B166)+(2924.4894*C166)+(-1027.6873*D166)</f>
        <v>785934.823160575</v>
      </c>
      <c r="G166">
        <f>E166-F166</f>
        <v>-2136.9331605749903</v>
      </c>
    </row>
    <row r="167" spans="1:7">
      <c r="A167">
        <v>65237.79</v>
      </c>
      <c r="B167">
        <v>8741</v>
      </c>
      <c r="C167">
        <v>94.4</v>
      </c>
      <c r="D167">
        <v>0</v>
      </c>
      <c r="E167">
        <v>780344.18</v>
      </c>
      <c r="F167">
        <f>135425.92+(1.1766945*A167)+(33.661288*B167)+(2924.4894*C167)+(-1027.6873*D167)</f>
        <v>782495.98645315506</v>
      </c>
      <c r="G167">
        <f>E167-F167</f>
        <v>-2151.8064531550044</v>
      </c>
    </row>
    <row r="168" spans="1:7">
      <c r="A168">
        <v>18996.32</v>
      </c>
      <c r="B168">
        <v>1260</v>
      </c>
      <c r="C168">
        <v>86.4</v>
      </c>
      <c r="D168">
        <v>0</v>
      </c>
      <c r="E168">
        <v>450711.92</v>
      </c>
      <c r="F168">
        <f>135425.92+(1.1766945*A168)+(33.661288*B168)+(2924.4894*C168)+(-1027.6873*D168)</f>
        <v>452867.89230424003</v>
      </c>
      <c r="G168">
        <f>E168-F168</f>
        <v>-2155.9723042400437</v>
      </c>
    </row>
    <row r="169" spans="1:7">
      <c r="A169">
        <v>30301.86</v>
      </c>
      <c r="B169">
        <v>6939</v>
      </c>
      <c r="C169">
        <v>90.3</v>
      </c>
      <c r="D169">
        <v>1</v>
      </c>
      <c r="E169">
        <v>665534.69999999995</v>
      </c>
      <c r="F169">
        <f>135425.92+(1.1766945*A169)+(33.661288*B169)+(2924.4894*C169)+(-1027.6873*D169)</f>
        <v>667711.33495377004</v>
      </c>
      <c r="G169">
        <f>E169-F169</f>
        <v>-2176.634953770088</v>
      </c>
    </row>
    <row r="170" spans="1:7">
      <c r="A170">
        <v>45209.25</v>
      </c>
      <c r="B170">
        <v>9287</v>
      </c>
      <c r="C170">
        <v>86.4</v>
      </c>
      <c r="D170">
        <v>0</v>
      </c>
      <c r="E170">
        <v>751393.88</v>
      </c>
      <c r="F170">
        <f>135425.92+(1.1766945*A170)+(33.661288*B170)+(2924.4894*C170)+(-1027.6873*D170)</f>
        <v>753911.66164012498</v>
      </c>
      <c r="G170">
        <f>E170-F170</f>
        <v>-2517.7816401249729</v>
      </c>
    </row>
    <row r="171" spans="1:7">
      <c r="A171">
        <v>68133.440000000002</v>
      </c>
      <c r="B171">
        <v>9459</v>
      </c>
      <c r="C171">
        <v>85</v>
      </c>
      <c r="D171">
        <v>1</v>
      </c>
      <c r="E171">
        <v>779010.94</v>
      </c>
      <c r="F171">
        <f>135425.92+(1.1766945*A171)+(33.661288*B171)+(2924.4894*C171)+(-1027.6873*D171)</f>
        <v>781554.19900608005</v>
      </c>
      <c r="G171">
        <f>E171-F171</f>
        <v>-2543.2590060801012</v>
      </c>
    </row>
    <row r="172" spans="1:7">
      <c r="A172">
        <v>48609.41</v>
      </c>
      <c r="B172">
        <v>9324</v>
      </c>
      <c r="C172">
        <v>86.5</v>
      </c>
      <c r="D172">
        <v>0</v>
      </c>
      <c r="E172">
        <v>756619.77</v>
      </c>
      <c r="F172">
        <f>135425.92+(1.1766945*A172)+(33.661288*B172)+(2924.4894*C172)+(-1027.6873*D172)</f>
        <v>759450.52780724503</v>
      </c>
      <c r="G172">
        <f>E172-F172</f>
        <v>-2830.7578072450124</v>
      </c>
    </row>
    <row r="173" spans="1:7">
      <c r="A173">
        <v>38361.93</v>
      </c>
      <c r="B173">
        <v>6322</v>
      </c>
      <c r="C173">
        <v>88.4</v>
      </c>
      <c r="D173">
        <v>1</v>
      </c>
      <c r="E173">
        <v>647953.78</v>
      </c>
      <c r="F173">
        <f>135425.92+(1.1766945*A173)+(33.661288*B173)+(2924.4894*C173)+(-1027.6873*D173)</f>
        <v>650870.03043638507</v>
      </c>
      <c r="G173">
        <f>E173-F173</f>
        <v>-2916.2504363850458</v>
      </c>
    </row>
    <row r="174" spans="1:7">
      <c r="A174">
        <v>55599.56</v>
      </c>
      <c r="B174">
        <v>5896</v>
      </c>
      <c r="C174">
        <v>93.1</v>
      </c>
      <c r="D174">
        <v>0</v>
      </c>
      <c r="E174">
        <v>668459.37</v>
      </c>
      <c r="F174">
        <f>135425.92+(1.1766945*A174)+(33.661288*B174)+(2924.4894*C174)+(-1027.6873*D174)</f>
        <v>671586.53364241985</v>
      </c>
      <c r="G174">
        <f>E174-F174</f>
        <v>-3127.1636424198514</v>
      </c>
    </row>
    <row r="175" spans="1:7">
      <c r="A175">
        <v>63010.23</v>
      </c>
      <c r="B175">
        <v>9812</v>
      </c>
      <c r="C175">
        <v>76.8</v>
      </c>
      <c r="D175">
        <v>0</v>
      </c>
      <c r="E175">
        <v>761077.08</v>
      </c>
      <c r="F175">
        <f>135425.92+(1.1766945*A175)+(33.661288*B175)+(2924.4894*C175)+(-1027.6873*D175)</f>
        <v>764455.05486073485</v>
      </c>
      <c r="G175">
        <f>E175-F175</f>
        <v>-3377.9748607348884</v>
      </c>
    </row>
    <row r="176" spans="1:7">
      <c r="A176">
        <v>46201.46</v>
      </c>
      <c r="B176">
        <v>5918</v>
      </c>
      <c r="C176">
        <v>78.8</v>
      </c>
      <c r="D176">
        <v>0</v>
      </c>
      <c r="E176">
        <v>616069.41</v>
      </c>
      <c r="F176">
        <f>135425.92+(1.1766945*A176)+(33.661288*B176)+(2924.4894*C176)+(-1027.6873*D176)</f>
        <v>619448.19097796991</v>
      </c>
      <c r="G176">
        <f>E176-F176</f>
        <v>-3378.7809779698728</v>
      </c>
    </row>
    <row r="177" spans="1:7">
      <c r="A177">
        <v>40220.18</v>
      </c>
      <c r="B177">
        <v>3783</v>
      </c>
      <c r="C177">
        <v>86.6</v>
      </c>
      <c r="D177">
        <v>0</v>
      </c>
      <c r="E177">
        <v>559422.02</v>
      </c>
      <c r="F177">
        <f>135425.92+(1.1766945*A177)+(33.661288*B177)+(2924.4894*C177)+(-1027.6873*D177)</f>
        <v>563354.21913900995</v>
      </c>
      <c r="G177">
        <f>E177-F177</f>
        <v>-3932.1991390099283</v>
      </c>
    </row>
    <row r="178" spans="1:7">
      <c r="A178">
        <v>52285.45</v>
      </c>
      <c r="B178">
        <v>3618</v>
      </c>
      <c r="C178">
        <v>95.6</v>
      </c>
      <c r="D178">
        <v>1</v>
      </c>
      <c r="E178">
        <v>593247.25</v>
      </c>
      <c r="F178">
        <f>135425.92+(1.1766945*A178)+(33.661288*B178)+(2924.4894*C178)+(-1027.6873*D178)</f>
        <v>597289.96076902503</v>
      </c>
      <c r="G178">
        <f>E178-F178</f>
        <v>-4042.7107690250268</v>
      </c>
    </row>
    <row r="179" spans="1:7">
      <c r="A179">
        <v>93381.26</v>
      </c>
      <c r="B179">
        <v>7562</v>
      </c>
      <c r="C179">
        <v>82.9</v>
      </c>
      <c r="D179">
        <v>1</v>
      </c>
      <c r="E179">
        <v>736633.4</v>
      </c>
      <c r="F179">
        <f>135425.92+(1.1766945*A179)+(33.661288*B179)+(2924.4894*C179)+(-1027.6873*D179)</f>
        <v>741266.27886106994</v>
      </c>
      <c r="G179">
        <f>E179-F179</f>
        <v>-4632.8788610699121</v>
      </c>
    </row>
    <row r="180" spans="1:7">
      <c r="A180">
        <v>74539.14</v>
      </c>
      <c r="B180">
        <v>4487</v>
      </c>
      <c r="C180">
        <v>90.4</v>
      </c>
      <c r="D180">
        <v>0</v>
      </c>
      <c r="E180">
        <v>633009.53</v>
      </c>
      <c r="F180">
        <f>135425.92+(1.1766945*A180)+(33.661288*B180)+(2924.4894*C180)+(-1027.6873*D180)</f>
        <v>638547.75708873011</v>
      </c>
      <c r="G180">
        <f>E180-F180</f>
        <v>-5538.2270887300838</v>
      </c>
    </row>
    <row r="181" spans="1:7">
      <c r="A181">
        <v>42698.14</v>
      </c>
      <c r="B181">
        <v>7693</v>
      </c>
      <c r="C181">
        <v>90.1</v>
      </c>
      <c r="D181">
        <v>0</v>
      </c>
      <c r="E181">
        <v>702318.94</v>
      </c>
      <c r="F181">
        <f>135425.92+(1.1766945*A181)+(33.661288*B181)+(2924.4894*C181)+(-1027.6873*D181)</f>
        <v>708121.37002222997</v>
      </c>
      <c r="G181">
        <f>E181-F181</f>
        <v>-5802.4300222300226</v>
      </c>
    </row>
    <row r="182" spans="1:7">
      <c r="A182">
        <v>44747</v>
      </c>
      <c r="B182">
        <v>11076</v>
      </c>
      <c r="C182">
        <v>98.3</v>
      </c>
      <c r="D182">
        <v>0</v>
      </c>
      <c r="E182">
        <v>842439.67</v>
      </c>
      <c r="F182">
        <f>135425.92+(1.1766945*A182)+(33.661288*B182)+(2924.4894*C182)+(-1027.6873*D182)</f>
        <v>848389.20269950002</v>
      </c>
      <c r="G182">
        <f>E182-F182</f>
        <v>-5949.5326994999778</v>
      </c>
    </row>
    <row r="183" spans="1:7">
      <c r="A183">
        <v>59060.05</v>
      </c>
      <c r="B183">
        <v>9702</v>
      </c>
      <c r="C183">
        <v>80.900000000000006</v>
      </c>
      <c r="D183">
        <v>0</v>
      </c>
      <c r="E183">
        <v>761919.25</v>
      </c>
      <c r="F183">
        <f>135425.92+(1.1766945*A183)+(33.661288*B183)+(2924.4894*C183)+(-1027.6873*D183)</f>
        <v>768094.56464072503</v>
      </c>
      <c r="G183">
        <f>E183-F183</f>
        <v>-6175.3146407250315</v>
      </c>
    </row>
    <row r="184" spans="1:7">
      <c r="A184">
        <v>35296.54</v>
      </c>
      <c r="B184">
        <v>9644</v>
      </c>
      <c r="C184">
        <v>88</v>
      </c>
      <c r="D184">
        <v>0</v>
      </c>
      <c r="E184">
        <v>752321.72</v>
      </c>
      <c r="F184">
        <f>135425.92+(1.1766945*A184)+(33.661288*B184)+(2924.4894*C184)+(-1027.6873*D184)</f>
        <v>758943.69315903005</v>
      </c>
      <c r="G184">
        <f>E184-F184</f>
        <v>-6621.9731590300798</v>
      </c>
    </row>
    <row r="185" spans="1:7">
      <c r="A185">
        <v>54968.98</v>
      </c>
      <c r="B185">
        <v>7816</v>
      </c>
      <c r="C185">
        <v>95.7</v>
      </c>
      <c r="D185">
        <v>0</v>
      </c>
      <c r="E185">
        <v>735480.19</v>
      </c>
      <c r="F185">
        <f>135425.92+(1.1766945*A185)+(33.661288*B185)+(2924.4894*C185)+(-1027.6873*D185)</f>
        <v>743077.87902460992</v>
      </c>
      <c r="G185">
        <f>E185-F185</f>
        <v>-7597.6890246099792</v>
      </c>
    </row>
    <row r="186" spans="1:7">
      <c r="A186">
        <v>27194.639999999999</v>
      </c>
      <c r="B186">
        <v>7404</v>
      </c>
      <c r="C186">
        <v>90.2</v>
      </c>
      <c r="D186">
        <v>0</v>
      </c>
      <c r="E186">
        <v>672670.54</v>
      </c>
      <c r="F186">
        <f>135425.92+(1.1766945*A186)+(33.661288*B186)+(2924.4894*C186)+(-1027.6873*D186)</f>
        <v>680442.82354947994</v>
      </c>
      <c r="G186">
        <f>E186-F186</f>
        <v>-7772.2835494799074</v>
      </c>
    </row>
    <row r="187" spans="1:7">
      <c r="A187">
        <v>61995.3</v>
      </c>
      <c r="B187">
        <v>10192</v>
      </c>
      <c r="C187">
        <v>87.6</v>
      </c>
      <c r="D187">
        <v>0</v>
      </c>
      <c r="E187">
        <v>799756.46</v>
      </c>
      <c r="F187">
        <f>135425.92+(1.1766945*A187)+(33.661288*B187)+(2924.4894*C187)+(-1027.6873*D187)</f>
        <v>807636.56727185007</v>
      </c>
      <c r="G187">
        <f>E187-F187</f>
        <v>-7880.1072718501091</v>
      </c>
    </row>
    <row r="188" spans="1:7">
      <c r="A188">
        <v>72961.95</v>
      </c>
      <c r="B188">
        <v>9996</v>
      </c>
      <c r="C188">
        <v>89.1</v>
      </c>
      <c r="D188">
        <v>0</v>
      </c>
      <c r="E188">
        <v>810355.02</v>
      </c>
      <c r="F188">
        <f>135425.92+(1.1766945*A188)+(33.661288*B188)+(2924.4894*C188)+(-1027.6873*D188)</f>
        <v>818330.08566227509</v>
      </c>
      <c r="G188">
        <f>E188-F188</f>
        <v>-7975.0656622750685</v>
      </c>
    </row>
    <row r="189" spans="1:7">
      <c r="A189">
        <v>68410.929999999993</v>
      </c>
      <c r="B189">
        <v>10596</v>
      </c>
      <c r="C189">
        <v>81.2</v>
      </c>
      <c r="D189">
        <v>0</v>
      </c>
      <c r="E189">
        <v>801830.35</v>
      </c>
      <c r="F189">
        <f>135425.92+(1.1766945*A189)+(33.661288*B189)+(2924.4894*C189)+(-1027.6873*D189)</f>
        <v>810068.23199888493</v>
      </c>
      <c r="G189">
        <f>E189-F189</f>
        <v>-8237.8819988849573</v>
      </c>
    </row>
    <row r="190" spans="1:7">
      <c r="A190">
        <v>57143.3</v>
      </c>
      <c r="B190">
        <v>8038</v>
      </c>
      <c r="C190">
        <v>72.599999999999994</v>
      </c>
      <c r="D190">
        <v>0</v>
      </c>
      <c r="E190">
        <v>677096.71</v>
      </c>
      <c r="F190">
        <f>135425.92+(1.1766945*A190)+(33.661288*B190)+(2924.4894*C190)+(-1027.6873*D190)</f>
        <v>685553.49020584999</v>
      </c>
      <c r="G190">
        <f>E190-F190</f>
        <v>-8456.7802058500238</v>
      </c>
    </row>
    <row r="191" spans="1:7">
      <c r="A191">
        <v>60322.400000000001</v>
      </c>
      <c r="B191">
        <v>3350</v>
      </c>
      <c r="C191">
        <v>89.4</v>
      </c>
      <c r="D191">
        <v>1</v>
      </c>
      <c r="E191">
        <v>570964.84</v>
      </c>
      <c r="F191">
        <f>135425.92+(1.1766945*A191)+(33.661288*B191)+(2924.4894*C191)+(-1027.6873*D191)</f>
        <v>579593.93616679998</v>
      </c>
      <c r="G191">
        <f>E191-F191</f>
        <v>-8629.0961668000091</v>
      </c>
    </row>
    <row r="192" spans="1:7">
      <c r="A192">
        <v>63176.73</v>
      </c>
      <c r="B192">
        <v>2390</v>
      </c>
      <c r="C192">
        <v>87.5</v>
      </c>
      <c r="D192">
        <v>0</v>
      </c>
      <c r="E192">
        <v>537383.79</v>
      </c>
      <c r="F192">
        <f>135425.92+(1.1766945*A192)+(33.661288*B192)+(2924.4894*C192)+(-1027.6873*D192)</f>
        <v>546108.93153898499</v>
      </c>
      <c r="G192">
        <f>E192-F192</f>
        <v>-8725.1415389849572</v>
      </c>
    </row>
    <row r="193" spans="1:7">
      <c r="A193">
        <v>57948.88</v>
      </c>
      <c r="B193">
        <v>10741</v>
      </c>
      <c r="C193">
        <v>90.1</v>
      </c>
      <c r="D193">
        <v>0</v>
      </c>
      <c r="E193">
        <v>819660.59</v>
      </c>
      <c r="F193">
        <f>135425.92+(1.1766945*A193)+(33.661288*B193)+(2924.4894*C193)+(-1027.6873*D193)</f>
        <v>828666.43772516004</v>
      </c>
      <c r="G193">
        <f>E193-F193</f>
        <v>-9005.8477251600707</v>
      </c>
    </row>
    <row r="194" spans="1:7">
      <c r="A194">
        <v>60183.06</v>
      </c>
      <c r="B194">
        <v>5562</v>
      </c>
      <c r="C194">
        <v>86.3</v>
      </c>
      <c r="D194">
        <v>0</v>
      </c>
      <c r="E194">
        <v>636775.66</v>
      </c>
      <c r="F194">
        <f>135425.92+(1.1766945*A194)+(33.661288*B194)+(2924.4894*C194)+(-1027.6873*D194)</f>
        <v>645850.51477116998</v>
      </c>
      <c r="G194">
        <f>E194-F194</f>
        <v>-9074.8547711699503</v>
      </c>
    </row>
    <row r="195" spans="1:7">
      <c r="A195">
        <v>22312.93</v>
      </c>
      <c r="B195">
        <v>5955</v>
      </c>
      <c r="C195">
        <v>84.2</v>
      </c>
      <c r="D195">
        <v>0</v>
      </c>
      <c r="E195">
        <v>598904.9</v>
      </c>
      <c r="F195">
        <f>135425.92+(1.1766945*A195)+(33.661288*B195)+(2924.4894*C195)+(-1027.6873*D195)</f>
        <v>608376.39952988504</v>
      </c>
      <c r="G195">
        <f>E195-F195</f>
        <v>-9471.4995298850117</v>
      </c>
    </row>
    <row r="196" spans="1:7">
      <c r="A196">
        <v>56973.18</v>
      </c>
      <c r="B196">
        <v>6662</v>
      </c>
      <c r="C196">
        <v>77.7</v>
      </c>
      <c r="D196">
        <v>0</v>
      </c>
      <c r="E196">
        <v>643657.47</v>
      </c>
      <c r="F196">
        <f>135425.92+(1.1766945*A196)+(33.661288*B196)+(2924.4894*C196)+(-1027.6873*D196)</f>
        <v>653950.27458951005</v>
      </c>
      <c r="G196">
        <f>E196-F196</f>
        <v>-10292.80458951008</v>
      </c>
    </row>
    <row r="197" spans="1:7">
      <c r="A197">
        <v>74413.88</v>
      </c>
      <c r="B197">
        <v>9449</v>
      </c>
      <c r="C197">
        <v>92.1</v>
      </c>
      <c r="D197">
        <v>1</v>
      </c>
      <c r="E197">
        <v>798952.17</v>
      </c>
      <c r="F197">
        <f>135425.92+(1.1766945*A197)+(33.661288*B197)+(2924.4894*C197)+(-1027.6873*D197)</f>
        <v>809371.62007166015</v>
      </c>
      <c r="G197">
        <f>E197-F197</f>
        <v>-10419.450071660103</v>
      </c>
    </row>
    <row r="198" spans="1:7">
      <c r="A198">
        <v>72932.55</v>
      </c>
      <c r="B198">
        <v>5765</v>
      </c>
      <c r="C198">
        <v>81.8</v>
      </c>
      <c r="D198">
        <v>1</v>
      </c>
      <c r="E198">
        <v>642751.42000000004</v>
      </c>
      <c r="F198">
        <f>135425.92+(1.1766945*A198)+(33.661288*B198)+(2924.4894*C198)+(-1027.6873*D198)</f>
        <v>653498.121395975</v>
      </c>
      <c r="G198">
        <f>E198-F198</f>
        <v>-10746.70139597496</v>
      </c>
    </row>
    <row r="199" spans="1:7">
      <c r="A199">
        <v>66962.740000000005</v>
      </c>
      <c r="B199">
        <v>7880</v>
      </c>
      <c r="C199">
        <v>90.4</v>
      </c>
      <c r="D199">
        <v>0</v>
      </c>
      <c r="E199">
        <v>732667.92</v>
      </c>
      <c r="F199">
        <f>135425.92+(1.1766945*A199)+(33.661288*B199)+(2924.4894*C199)+(-1027.6873*D199)</f>
        <v>743845.39906293014</v>
      </c>
      <c r="G199">
        <f>E199-F199</f>
        <v>-11177.479062930099</v>
      </c>
    </row>
    <row r="200" spans="1:7">
      <c r="A200">
        <v>54322.94</v>
      </c>
      <c r="B200">
        <v>5434</v>
      </c>
      <c r="C200">
        <v>85.7</v>
      </c>
      <c r="D200">
        <v>0</v>
      </c>
      <c r="E200">
        <v>621677.30000000005</v>
      </c>
      <c r="F200">
        <f>135425.92+(1.1766945*A200)+(33.661288*B200)+(2924.4894*C200)+(-1027.6873*D200)</f>
        <v>632891.60529383004</v>
      </c>
      <c r="G200">
        <f>E200-F200</f>
        <v>-11214.305293829995</v>
      </c>
    </row>
    <row r="201" spans="1:7">
      <c r="A201">
        <v>50343.19</v>
      </c>
      <c r="B201">
        <v>3845</v>
      </c>
      <c r="C201">
        <v>88.7</v>
      </c>
      <c r="D201">
        <v>0</v>
      </c>
      <c r="E201">
        <v>572011.19999999995</v>
      </c>
      <c r="F201">
        <f>135425.92+(1.1766945*A201)+(33.661288*B201)+(2924.4894*C201)+(-1027.6873*D201)</f>
        <v>583494.33692545502</v>
      </c>
      <c r="G201">
        <f>E201-F201</f>
        <v>-11483.136925455066</v>
      </c>
    </row>
    <row r="202" spans="1:7">
      <c r="A202">
        <v>59405.68</v>
      </c>
      <c r="B202">
        <v>2515</v>
      </c>
      <c r="C202">
        <v>76</v>
      </c>
      <c r="D202">
        <v>0</v>
      </c>
      <c r="E202">
        <v>500298.48</v>
      </c>
      <c r="F202">
        <f>135425.92+(1.1766945*A202)+(33.661288*B202)+(2924.4894*C202)+(-1027.6873*D202)</f>
        <v>512247.59064476006</v>
      </c>
      <c r="G202">
        <f>E202-F202</f>
        <v>-11949.110644760076</v>
      </c>
    </row>
    <row r="203" spans="1:7">
      <c r="A203">
        <v>33518.879999999997</v>
      </c>
      <c r="B203">
        <v>2121</v>
      </c>
      <c r="C203">
        <v>88.5</v>
      </c>
      <c r="D203">
        <v>1</v>
      </c>
      <c r="E203">
        <v>491905.13</v>
      </c>
      <c r="F203">
        <f>135425.92+(1.1766945*A203)+(33.661288*B203)+(2924.4894*C203)+(-1027.6873*D203)</f>
        <v>504052.61819016002</v>
      </c>
      <c r="G203">
        <f>E203-F203</f>
        <v>-12147.488190160017</v>
      </c>
    </row>
    <row r="204" spans="1:7">
      <c r="A204">
        <v>47648.71</v>
      </c>
      <c r="B204">
        <v>5767</v>
      </c>
      <c r="C204">
        <v>89.8</v>
      </c>
      <c r="D204">
        <v>0</v>
      </c>
      <c r="E204">
        <v>635837.74</v>
      </c>
      <c r="F204">
        <f>135425.92+(1.1766945*A204)+(33.661288*B204)+(2924.4894*C204)+(-1027.6873*D204)</f>
        <v>648237.69100509491</v>
      </c>
      <c r="G204">
        <f>E204-F204</f>
        <v>-12399.951005094917</v>
      </c>
    </row>
    <row r="205" spans="1:7">
      <c r="A205">
        <v>57696.69</v>
      </c>
      <c r="B205">
        <v>10218</v>
      </c>
      <c r="C205">
        <v>94.8</v>
      </c>
      <c r="D205">
        <v>0</v>
      </c>
      <c r="E205">
        <v>811771.14</v>
      </c>
      <c r="F205">
        <f>135425.92+(1.1766945*A205)+(33.661288*B205)+(2924.4894*C205)+(-1027.6873*D205)</f>
        <v>824509.93369520502</v>
      </c>
      <c r="G205">
        <f>E205-F205</f>
        <v>-12738.793695205008</v>
      </c>
    </row>
    <row r="206" spans="1:7">
      <c r="A206">
        <v>53351.7</v>
      </c>
      <c r="B206">
        <v>4259</v>
      </c>
      <c r="C206">
        <v>93.7</v>
      </c>
      <c r="D206">
        <v>1</v>
      </c>
      <c r="E206">
        <v>601568.87</v>
      </c>
      <c r="F206">
        <f>135425.92+(1.1766945*A206)+(33.661288*B206)+(2924.4894*C206)+(-1027.6873*D206)</f>
        <v>614564.9670276501</v>
      </c>
      <c r="G206">
        <f>E206-F206</f>
        <v>-12996.097027650103</v>
      </c>
    </row>
    <row r="207" spans="1:7">
      <c r="A207">
        <v>60881.01</v>
      </c>
      <c r="B207">
        <v>5410</v>
      </c>
      <c r="C207">
        <v>83.9</v>
      </c>
      <c r="D207">
        <v>0</v>
      </c>
      <c r="E207">
        <v>621369.57999999996</v>
      </c>
      <c r="F207">
        <f>135425.92+(1.1766945*A207)+(33.661288*B207)+(2924.4894*C207)+(-1027.6873*D207)</f>
        <v>634536.49836144503</v>
      </c>
      <c r="G207">
        <f>E207-F207</f>
        <v>-13166.918361445074</v>
      </c>
    </row>
    <row r="208" spans="1:7">
      <c r="A208">
        <v>92090.14</v>
      </c>
      <c r="B208">
        <v>9476</v>
      </c>
      <c r="C208">
        <v>94.3</v>
      </c>
      <c r="D208">
        <v>0</v>
      </c>
      <c r="E208">
        <v>825060.52</v>
      </c>
      <c r="F208">
        <f>135425.92+(1.1766945*A208)+(33.661288*B208)+(2924.4894*C208)+(-1027.6873*D208)</f>
        <v>838541.59675023006</v>
      </c>
      <c r="G208">
        <f>E208-F208</f>
        <v>-13481.076750230044</v>
      </c>
    </row>
    <row r="209" spans="1:7">
      <c r="A209">
        <v>38966.589999999997</v>
      </c>
      <c r="B209">
        <v>4509</v>
      </c>
      <c r="C209">
        <v>91.1</v>
      </c>
      <c r="D209">
        <v>0</v>
      </c>
      <c r="E209">
        <v>585937.48</v>
      </c>
      <c r="F209">
        <f>135425.92+(1.1766945*A209)+(33.661288*B209)+(2924.4894*C209)+(-1027.6873*D209)</f>
        <v>599477.424068755</v>
      </c>
      <c r="G209">
        <f>E209-F209</f>
        <v>-13539.944068755023</v>
      </c>
    </row>
    <row r="210" spans="1:7">
      <c r="A210">
        <v>48465.599999999999</v>
      </c>
      <c r="B210">
        <v>5759</v>
      </c>
      <c r="C210">
        <v>87.5</v>
      </c>
      <c r="D210">
        <v>0</v>
      </c>
      <c r="E210">
        <v>628538.30000000005</v>
      </c>
      <c r="F210">
        <f>135425.92+(1.1766945*A210)+(33.661288*B210)+(2924.4894*C210)+(-1027.6873*D210)</f>
        <v>642203.30505119998</v>
      </c>
      <c r="G210">
        <f>E210-F210</f>
        <v>-13665.005051199929</v>
      </c>
    </row>
    <row r="211" spans="1:7">
      <c r="A211">
        <v>40647.67</v>
      </c>
      <c r="B211">
        <v>8252</v>
      </c>
      <c r="C211">
        <v>88.2</v>
      </c>
      <c r="D211">
        <v>1</v>
      </c>
      <c r="E211">
        <v>703812.99</v>
      </c>
      <c r="F211">
        <f>135425.92+(1.1766945*A211)+(33.661288*B211)+(2924.4894*C211)+(-1027.6873*D211)</f>
        <v>717941.03608281503</v>
      </c>
      <c r="G211">
        <f>E211-F211</f>
        <v>-14128.046082815039</v>
      </c>
    </row>
    <row r="212" spans="1:7">
      <c r="A212">
        <v>40928.69</v>
      </c>
      <c r="B212">
        <v>4094</v>
      </c>
      <c r="C212">
        <v>82.4</v>
      </c>
      <c r="D212">
        <v>0</v>
      </c>
      <c r="E212">
        <v>548103.69999999995</v>
      </c>
      <c r="F212">
        <f>135425.92+(1.1766945*A212)+(33.661288*B212)+(2924.4894*C212)+(-1027.6873*D212)</f>
        <v>562373.72404720506</v>
      </c>
      <c r="G212">
        <f>E212-F212</f>
        <v>-14270.024047205108</v>
      </c>
    </row>
    <row r="213" spans="1:7">
      <c r="A213">
        <v>49405.75</v>
      </c>
      <c r="B213">
        <v>9752</v>
      </c>
      <c r="C213">
        <v>87</v>
      </c>
      <c r="D213">
        <v>0</v>
      </c>
      <c r="E213">
        <v>761963.23</v>
      </c>
      <c r="F213">
        <f>135425.92+(1.1766945*A213)+(33.661288*B213)+(2924.4894*C213)+(-1027.6873*D213)</f>
        <v>776256.85266937502</v>
      </c>
      <c r="G213">
        <f>E213-F213</f>
        <v>-14293.622669375036</v>
      </c>
    </row>
    <row r="214" spans="1:7">
      <c r="A214">
        <v>41441.93</v>
      </c>
      <c r="B214">
        <v>4865</v>
      </c>
      <c r="C214">
        <v>88.3</v>
      </c>
      <c r="D214">
        <v>0</v>
      </c>
      <c r="E214">
        <v>591619.94999999995</v>
      </c>
      <c r="F214">
        <f>135425.92+(1.1766945*A214)+(33.661288*B214)+(2924.4894*C214)+(-1027.6873*D214)</f>
        <v>606184.99124038499</v>
      </c>
      <c r="G214">
        <f>E214-F214</f>
        <v>-14565.041240385035</v>
      </c>
    </row>
    <row r="215" spans="1:7">
      <c r="A215">
        <v>66455.8</v>
      </c>
      <c r="B215">
        <v>10836</v>
      </c>
      <c r="C215">
        <v>85</v>
      </c>
      <c r="D215">
        <v>0</v>
      </c>
      <c r="E215">
        <v>811452.72</v>
      </c>
      <c r="F215">
        <f>135425.92+(1.1766945*A215)+(33.661288*B215)+(2924.4894*C215)+(-1027.6873*D215)</f>
        <v>826959.41012110002</v>
      </c>
      <c r="G215">
        <f>E215-F215</f>
        <v>-15506.690121100051</v>
      </c>
    </row>
    <row r="216" spans="1:7">
      <c r="A216">
        <v>51133.43</v>
      </c>
      <c r="B216">
        <v>5150</v>
      </c>
      <c r="C216">
        <v>88.5</v>
      </c>
      <c r="D216">
        <v>0</v>
      </c>
      <c r="E216">
        <v>611924.27</v>
      </c>
      <c r="F216">
        <f>135425.92+(1.1766945*A216)+(33.661288*B216)+(2924.4894*C216)+(-1027.6873*D216)</f>
        <v>627767.29094713496</v>
      </c>
      <c r="G216">
        <f>E216-F216</f>
        <v>-15843.020947134937</v>
      </c>
    </row>
    <row r="217" spans="1:7">
      <c r="A217">
        <v>81902.58</v>
      </c>
      <c r="B217">
        <v>7775</v>
      </c>
      <c r="C217">
        <v>85.2</v>
      </c>
      <c r="D217">
        <v>0</v>
      </c>
      <c r="E217">
        <v>726776.22</v>
      </c>
      <c r="F217">
        <f>135425.92+(1.1766945*A217)+(33.661288*B217)+(2924.4894*C217)+(-1027.6873*D217)</f>
        <v>742683.24650181003</v>
      </c>
      <c r="G217">
        <f>E217-F217</f>
        <v>-15907.026501810062</v>
      </c>
    </row>
    <row r="218" spans="1:7">
      <c r="A218">
        <v>71941.62</v>
      </c>
      <c r="B218">
        <v>6084</v>
      </c>
      <c r="C218">
        <v>93.7</v>
      </c>
      <c r="D218">
        <v>1</v>
      </c>
      <c r="E218">
        <v>681855.56</v>
      </c>
      <c r="F218">
        <f>135425.92+(1.1766945*A218)+(33.661288*B218)+(2924.4894*C218)+(-1027.6873*D218)</f>
        <v>697871.47424708994</v>
      </c>
      <c r="G218">
        <f>E218-F218</f>
        <v>-16015.914247089881</v>
      </c>
    </row>
    <row r="219" spans="1:7">
      <c r="A219">
        <v>51056.15</v>
      </c>
      <c r="B219">
        <v>5686</v>
      </c>
      <c r="C219">
        <v>89.9</v>
      </c>
      <c r="D219">
        <v>0</v>
      </c>
      <c r="E219">
        <v>633494.21</v>
      </c>
      <c r="F219">
        <f>135425.92+(1.1766945*A219)+(33.661288*B219)+(2924.4894*C219)+(-1027.6873*D219)</f>
        <v>649813.09152417502</v>
      </c>
      <c r="G219">
        <f>E219-F219</f>
        <v>-16318.881524175056</v>
      </c>
    </row>
    <row r="220" spans="1:7">
      <c r="A220">
        <v>70366.759999999995</v>
      </c>
      <c r="B220">
        <v>1963</v>
      </c>
      <c r="C220">
        <v>89.8</v>
      </c>
      <c r="D220">
        <v>1</v>
      </c>
      <c r="E220">
        <v>529075.94999999995</v>
      </c>
      <c r="F220">
        <f>135425.92+(1.1766945*A220)+(33.661288*B220)+(2924.4894*C220)+(-1027.6873*D220)</f>
        <v>545894.66863881995</v>
      </c>
      <c r="G220">
        <f>E220-F220</f>
        <v>-16818.718638819992</v>
      </c>
    </row>
    <row r="221" spans="1:7">
      <c r="A221">
        <v>107970.19</v>
      </c>
      <c r="B221">
        <v>12870</v>
      </c>
      <c r="C221">
        <v>91.7</v>
      </c>
      <c r="D221">
        <v>0</v>
      </c>
      <c r="E221">
        <v>946833.54</v>
      </c>
      <c r="F221">
        <f>135425.92+(1.1766945*A221)+(33.661288*B221)+(2924.4894*C221)+(-1027.6873*D221)</f>
        <v>963870.30327695492</v>
      </c>
      <c r="G221">
        <f>E221-F221</f>
        <v>-17036.76327695488</v>
      </c>
    </row>
    <row r="222" spans="1:7">
      <c r="A222">
        <v>35303.300000000003</v>
      </c>
      <c r="B222">
        <v>8789</v>
      </c>
      <c r="C222">
        <v>86.1</v>
      </c>
      <c r="D222">
        <v>1</v>
      </c>
      <c r="E222">
        <v>706285.52</v>
      </c>
      <c r="F222">
        <f>135425.92+(1.1766945*A222)+(33.661288*B222)+(2924.4894*C222)+(-1027.6873*D222)</f>
        <v>723587.02921385004</v>
      </c>
      <c r="G222">
        <f>E222-F222</f>
        <v>-17301.509213850019</v>
      </c>
    </row>
    <row r="223" spans="1:7">
      <c r="A223">
        <v>9534.65</v>
      </c>
      <c r="B223">
        <v>6057</v>
      </c>
      <c r="C223">
        <v>94.1</v>
      </c>
      <c r="D223">
        <v>0</v>
      </c>
      <c r="E223">
        <v>607898.12</v>
      </c>
      <c r="F223">
        <f>135425.92+(1.1766945*A223)+(33.661288*B223)+(2924.4894*C223)+(-1027.6873*D223)</f>
        <v>625726.16417042492</v>
      </c>
      <c r="G223">
        <f>E223-F223</f>
        <v>-17828.044170424924</v>
      </c>
    </row>
    <row r="224" spans="1:7">
      <c r="A224">
        <v>70284.06</v>
      </c>
      <c r="B224">
        <v>9109</v>
      </c>
      <c r="C224">
        <v>87</v>
      </c>
      <c r="D224">
        <v>0</v>
      </c>
      <c r="E224">
        <v>761122.42</v>
      </c>
      <c r="F224">
        <f>135425.92+(1.1766945*A224)+(33.661288*B224)+(2924.4894*C224)+(-1027.6873*D224)</f>
        <v>779180.03703166998</v>
      </c>
      <c r="G224">
        <f>E224-F224</f>
        <v>-18057.617031669943</v>
      </c>
    </row>
    <row r="225" spans="1:7">
      <c r="A225">
        <v>59909.51</v>
      </c>
      <c r="B225">
        <v>8895</v>
      </c>
      <c r="C225">
        <v>88.8</v>
      </c>
      <c r="D225">
        <v>0</v>
      </c>
      <c r="E225">
        <v>746501.09</v>
      </c>
      <c r="F225">
        <f>135425.92+(1.1766945*A225)+(33.661288*B225)+(2924.4894*C225)+(-1027.6873*D225)</f>
        <v>765032.92639469495</v>
      </c>
      <c r="G225">
        <f>E225-F225</f>
        <v>-18531.836394694983</v>
      </c>
    </row>
    <row r="226" spans="1:7">
      <c r="A226">
        <v>21536.18</v>
      </c>
      <c r="B226">
        <v>8119</v>
      </c>
      <c r="C226">
        <v>90.4</v>
      </c>
      <c r="D226">
        <v>0</v>
      </c>
      <c r="E226">
        <v>679888.74</v>
      </c>
      <c r="F226">
        <f>135425.92+(1.1766945*A226)+(33.661288*B226)+(2924.4894*C226)+(-1027.6873*D226)</f>
        <v>698437.26358901011</v>
      </c>
      <c r="G226">
        <f>E226-F226</f>
        <v>-18548.523589010118</v>
      </c>
    </row>
    <row r="227" spans="1:7">
      <c r="A227">
        <v>51148.69</v>
      </c>
      <c r="B227">
        <v>7940</v>
      </c>
      <c r="C227">
        <v>93.3</v>
      </c>
      <c r="D227">
        <v>0</v>
      </c>
      <c r="E227">
        <v>717141.55</v>
      </c>
      <c r="F227">
        <f>135425.92+(1.1766945*A227)+(33.661288*B227)+(2924.4894*C227)+(-1027.6873*D227)</f>
        <v>735737.78994520498</v>
      </c>
      <c r="G227">
        <f>E227-F227</f>
        <v>-18596.239945204929</v>
      </c>
    </row>
    <row r="228" spans="1:7">
      <c r="A228">
        <v>34285.21</v>
      </c>
      <c r="B228">
        <v>9172</v>
      </c>
      <c r="C228">
        <v>88.3</v>
      </c>
      <c r="D228">
        <v>1</v>
      </c>
      <c r="E228">
        <v>723060.76</v>
      </c>
      <c r="F228">
        <f>135425.92+(1.1766945*A228)+(33.661288*B228)+(2924.4894*C228)+(-1027.6873*D228)</f>
        <v>741715.19829434506</v>
      </c>
      <c r="G228">
        <f>E228-F228</f>
        <v>-18654.438294345047</v>
      </c>
    </row>
    <row r="229" spans="1:7">
      <c r="A229">
        <v>36290.080000000002</v>
      </c>
      <c r="B229">
        <v>5787</v>
      </c>
      <c r="C229">
        <v>88.3</v>
      </c>
      <c r="D229">
        <v>0</v>
      </c>
      <c r="E229">
        <v>612390.14</v>
      </c>
      <c r="F229">
        <f>135425.92+(1.1766945*A229)+(33.661288*B229)+(2924.4894*C229)+(-1027.6873*D229)</f>
        <v>631158.54521656001</v>
      </c>
      <c r="G229">
        <f>E229-F229</f>
        <v>-18768.405216560001</v>
      </c>
    </row>
    <row r="230" spans="1:7">
      <c r="A230">
        <v>54080.91</v>
      </c>
      <c r="B230">
        <v>7083</v>
      </c>
      <c r="C230">
        <v>97</v>
      </c>
      <c r="D230">
        <v>0</v>
      </c>
      <c r="E230">
        <v>702068.92</v>
      </c>
      <c r="F230">
        <f>135425.92+(1.1766945*A230)+(33.661288*B230)+(2924.4894*C230)+(-1027.6873*D230)</f>
        <v>721161.00405599503</v>
      </c>
      <c r="G230">
        <f>E230-F230</f>
        <v>-19092.084055994987</v>
      </c>
    </row>
    <row r="231" spans="1:7">
      <c r="A231">
        <v>51575.68</v>
      </c>
      <c r="B231">
        <v>5329</v>
      </c>
      <c r="C231">
        <v>88.1</v>
      </c>
      <c r="D231">
        <v>0</v>
      </c>
      <c r="E231">
        <v>614024.91</v>
      </c>
      <c r="F231">
        <f>135425.92+(1.1766945*A231)+(33.661288*B231)+(2924.4894*C231)+(-1027.6873*D231)</f>
        <v>633143.25888175995</v>
      </c>
      <c r="G231">
        <f>E231-F231</f>
        <v>-19118.348881759914</v>
      </c>
    </row>
    <row r="232" spans="1:7">
      <c r="A232">
        <v>36606.51</v>
      </c>
      <c r="B232">
        <v>7671</v>
      </c>
      <c r="C232">
        <v>89.8</v>
      </c>
      <c r="D232">
        <v>0</v>
      </c>
      <c r="E232">
        <v>679731.57</v>
      </c>
      <c r="F232">
        <f>135425.92+(1.1766945*A232)+(33.661288*B232)+(2924.4894*C232)+(-1027.6873*D232)</f>
        <v>699335.48734919494</v>
      </c>
      <c r="G232">
        <f>E232-F232</f>
        <v>-19603.917349194991</v>
      </c>
    </row>
    <row r="233" spans="1:7">
      <c r="A233">
        <v>70040.31</v>
      </c>
      <c r="B233">
        <v>9175</v>
      </c>
      <c r="C233">
        <v>95.1</v>
      </c>
      <c r="D233">
        <v>0</v>
      </c>
      <c r="E233">
        <v>784502.68</v>
      </c>
      <c r="F233">
        <f>135425.92+(1.1766945*A233)+(33.661288*B233)+(2924.4894*C233)+(-1027.6873*D233)</f>
        <v>804803.22689529508</v>
      </c>
      <c r="G233">
        <f>E233-F233</f>
        <v>-20300.546895295032</v>
      </c>
    </row>
    <row r="234" spans="1:7">
      <c r="A234">
        <v>75645.23</v>
      </c>
      <c r="B234">
        <v>9674</v>
      </c>
      <c r="C234">
        <v>87.4</v>
      </c>
      <c r="D234">
        <v>0</v>
      </c>
      <c r="E234">
        <v>785028.25</v>
      </c>
      <c r="F234">
        <f>135425.92+(1.1766945*A234)+(33.661288*B234)+(2924.4894*C234)+(-1027.6873*D234)</f>
        <v>805676.91976423492</v>
      </c>
      <c r="G234">
        <f>E234-F234</f>
        <v>-20648.669764234917</v>
      </c>
    </row>
    <row r="235" spans="1:7">
      <c r="A235">
        <v>48804.22</v>
      </c>
      <c r="B235">
        <v>7057</v>
      </c>
      <c r="C235">
        <v>87.7</v>
      </c>
      <c r="D235">
        <v>0</v>
      </c>
      <c r="E235">
        <v>666152.52</v>
      </c>
      <c r="F235">
        <f>135425.92+(1.1766945*A235)+(33.661288*B235)+(2924.4894*C235)+(-1027.6873*D235)</f>
        <v>686879.0070467901</v>
      </c>
      <c r="G235">
        <f>E235-F235</f>
        <v>-20726.487046790076</v>
      </c>
    </row>
    <row r="236" spans="1:7">
      <c r="A236">
        <v>64104.28</v>
      </c>
      <c r="B236">
        <v>6015</v>
      </c>
      <c r="C236">
        <v>88.7</v>
      </c>
      <c r="D236">
        <v>0</v>
      </c>
      <c r="E236">
        <v>650795.49</v>
      </c>
      <c r="F236">
        <f>135425.92+(1.1766945*A236)+(33.661288*B236)+(2924.4894*C236)+(-1027.6873*D236)</f>
        <v>672731.93080246006</v>
      </c>
      <c r="G236">
        <f>E236-F236</f>
        <v>-21936.440802460071</v>
      </c>
    </row>
    <row r="237" spans="1:7">
      <c r="A237">
        <v>58981.91</v>
      </c>
      <c r="B237">
        <v>7324</v>
      </c>
      <c r="C237">
        <v>95.8</v>
      </c>
      <c r="D237">
        <v>0</v>
      </c>
      <c r="E237">
        <v>708985.19</v>
      </c>
      <c r="F237">
        <f>135425.92+(1.1766945*A237)+(33.661288*B237)+(2924.4894*C237)+(-1027.6873*D237)</f>
        <v>731530.96692849509</v>
      </c>
      <c r="G237">
        <f>E237-F237</f>
        <v>-22545.77692849515</v>
      </c>
    </row>
    <row r="238" spans="1:7">
      <c r="A238">
        <v>46624.05</v>
      </c>
      <c r="B238">
        <v>5104</v>
      </c>
      <c r="C238">
        <v>97.3</v>
      </c>
      <c r="D238">
        <v>1</v>
      </c>
      <c r="E238">
        <v>622811.74</v>
      </c>
      <c r="F238">
        <f>135425.92+(1.1766945*A238)+(33.661288*B238)+(2924.4894*C238)+(-1027.6873*D238)</f>
        <v>645620.52847472497</v>
      </c>
      <c r="G238">
        <f>E238-F238</f>
        <v>-22808.788474724977</v>
      </c>
    </row>
    <row r="239" spans="1:7">
      <c r="A239">
        <v>78831.12</v>
      </c>
      <c r="B239">
        <v>5538</v>
      </c>
      <c r="C239">
        <v>94.1</v>
      </c>
      <c r="D239">
        <v>0</v>
      </c>
      <c r="E239">
        <v>666573.19999999995</v>
      </c>
      <c r="F239">
        <f>135425.92+(1.1766945*A239)+(33.661288*B239)+(2924.4894*C239)+(-1027.6873*D239)</f>
        <v>689796.73081683996</v>
      </c>
      <c r="G239">
        <f>E239-F239</f>
        <v>-23223.530816840008</v>
      </c>
    </row>
    <row r="240" spans="1:7">
      <c r="A240">
        <v>46174.7</v>
      </c>
      <c r="B240">
        <v>4898</v>
      </c>
      <c r="C240">
        <v>91.7</v>
      </c>
      <c r="D240">
        <v>0</v>
      </c>
      <c r="E240">
        <v>599017.32999999996</v>
      </c>
      <c r="F240">
        <f>135425.92+(1.1766945*A240)+(33.661288*B240)+(2924.4894*C240)+(-1027.6873*D240)</f>
        <v>622808.10213314998</v>
      </c>
      <c r="G240">
        <f>E240-F240</f>
        <v>-23790.772133150022</v>
      </c>
    </row>
    <row r="241" spans="1:7">
      <c r="A241">
        <v>34771.26</v>
      </c>
      <c r="B241">
        <v>4355</v>
      </c>
      <c r="C241">
        <v>87.9</v>
      </c>
      <c r="D241">
        <v>0</v>
      </c>
      <c r="E241">
        <v>555557.77</v>
      </c>
      <c r="F241">
        <f>135425.92+(1.1766945*A241)+(33.661288*B241)+(2924.4894*C241)+(-1027.6873*D241)</f>
        <v>579998.59790007002</v>
      </c>
      <c r="G241">
        <f>E241-F241</f>
        <v>-24440.827900069999</v>
      </c>
    </row>
    <row r="242" spans="1:7">
      <c r="A242">
        <v>37705.879999999997</v>
      </c>
      <c r="B242">
        <v>1268</v>
      </c>
      <c r="C242">
        <v>84.1</v>
      </c>
      <c r="D242">
        <v>0</v>
      </c>
      <c r="E242">
        <v>443275.59</v>
      </c>
      <c r="F242">
        <f>135425.92+(1.1766945*A242)+(33.661288*B242)+(2924.4894*C242)+(-1027.6873*D242)</f>
        <v>468426.29333766003</v>
      </c>
      <c r="G242">
        <f>E242-F242</f>
        <v>-25150.703337660001</v>
      </c>
    </row>
    <row r="243" spans="1:7">
      <c r="A243">
        <v>64811.21</v>
      </c>
      <c r="B243">
        <v>9792</v>
      </c>
      <c r="C243">
        <v>84.2</v>
      </c>
      <c r="D243">
        <v>0</v>
      </c>
      <c r="E243">
        <v>761835.34</v>
      </c>
      <c r="F243">
        <f>135425.92+(1.1766945*A243)+(33.661288*B243)+(2924.4894*C243)+(-1027.6873*D243)</f>
        <v>787542.25392134499</v>
      </c>
      <c r="G243">
        <f>E243-F243</f>
        <v>-25706.913921345025</v>
      </c>
    </row>
    <row r="244" spans="1:7">
      <c r="A244">
        <v>44970.080000000002</v>
      </c>
      <c r="B244">
        <v>2471</v>
      </c>
      <c r="C244">
        <v>87.6</v>
      </c>
      <c r="D244">
        <v>0</v>
      </c>
      <c r="E244">
        <v>500173.02</v>
      </c>
      <c r="F244">
        <f>135425.92+(1.1766945*A244)+(33.661288*B244)+(2924.4894*C244)+(-1027.6873*D244)</f>
        <v>527704.27988856006</v>
      </c>
      <c r="G244">
        <f>E244-F244</f>
        <v>-27531.259888560046</v>
      </c>
    </row>
    <row r="245" spans="1:7">
      <c r="A245">
        <v>77999.899999999994</v>
      </c>
      <c r="B245">
        <v>5974</v>
      </c>
      <c r="C245">
        <v>81.3</v>
      </c>
      <c r="D245">
        <v>0</v>
      </c>
      <c r="E245">
        <v>636561.34</v>
      </c>
      <c r="F245">
        <f>135425.92+(1.1766945*A245)+(33.661288*B245)+(2924.4894*C245)+(-1027.6873*D245)</f>
        <v>666061.49606255</v>
      </c>
      <c r="G245">
        <f>E245-F245</f>
        <v>-29500.156062550028</v>
      </c>
    </row>
    <row r="246" spans="1:7">
      <c r="A246">
        <v>25990.54</v>
      </c>
      <c r="B246">
        <v>9249</v>
      </c>
      <c r="C246">
        <v>92.5</v>
      </c>
      <c r="D246">
        <v>0</v>
      </c>
      <c r="E246">
        <v>718074.79</v>
      </c>
      <c r="F246">
        <f>135425.92+(1.1766945*A246)+(33.661288*B246)+(2924.4894*C246)+(-1027.6873*D246)</f>
        <v>747857.36768202996</v>
      </c>
      <c r="G246">
        <f>E246-F246</f>
        <v>-29782.577682029922</v>
      </c>
    </row>
    <row r="247" spans="1:7">
      <c r="A247">
        <v>63043.94</v>
      </c>
      <c r="B247">
        <v>10402</v>
      </c>
      <c r="C247">
        <v>93.9</v>
      </c>
      <c r="D247">
        <v>0</v>
      </c>
      <c r="E247">
        <v>804264</v>
      </c>
      <c r="F247">
        <f>135425.92+(1.1766945*A247)+(33.661288*B247)+(2924.4894*C247)+(-1027.6873*D247)</f>
        <v>834363.64989233005</v>
      </c>
      <c r="G247">
        <f>E247-F247</f>
        <v>-30099.649892330053</v>
      </c>
    </row>
    <row r="248" spans="1:7">
      <c r="A248">
        <v>88443.77</v>
      </c>
      <c r="B248">
        <v>4004</v>
      </c>
      <c r="C248">
        <v>91.9</v>
      </c>
      <c r="D248">
        <v>0</v>
      </c>
      <c r="E248">
        <v>611766.72</v>
      </c>
      <c r="F248">
        <f>135425.92+(1.1766945*A248)+(33.661288*B248)+(2924.4894*C248)+(-1027.6873*D248)</f>
        <v>643037.59073026502</v>
      </c>
      <c r="G248">
        <f>E248-F248</f>
        <v>-31270.870730265044</v>
      </c>
    </row>
    <row r="249" spans="1:7">
      <c r="A249">
        <v>41863.08</v>
      </c>
      <c r="B249">
        <v>5400</v>
      </c>
      <c r="C249">
        <v>91.6</v>
      </c>
      <c r="D249">
        <v>1</v>
      </c>
      <c r="E249">
        <v>602002.31999999995</v>
      </c>
      <c r="F249">
        <f>135425.92+(1.1766945*A249)+(33.661288*B249)+(2924.4894*C249)+(-1027.6873*D249)</f>
        <v>633312.47292905999</v>
      </c>
      <c r="G249">
        <f>E249-F249</f>
        <v>-31310.152929060045</v>
      </c>
    </row>
    <row r="250" spans="1:7">
      <c r="A250">
        <v>59117.9</v>
      </c>
      <c r="B250">
        <v>4263</v>
      </c>
      <c r="C250">
        <v>87.6</v>
      </c>
      <c r="D250">
        <v>0</v>
      </c>
      <c r="E250">
        <v>573155.18999999994</v>
      </c>
      <c r="F250">
        <f>135425.92+(1.1766945*A250)+(33.661288*B250)+(2924.4894*C250)+(-1027.6873*D250)</f>
        <v>604672.96996554988</v>
      </c>
      <c r="G250">
        <f>E250-F250</f>
        <v>-31517.77996554994</v>
      </c>
    </row>
    <row r="251" spans="1:7">
      <c r="A251">
        <v>42932.02</v>
      </c>
      <c r="B251">
        <v>3872</v>
      </c>
      <c r="C251">
        <v>83.2</v>
      </c>
      <c r="D251">
        <v>0</v>
      </c>
      <c r="E251">
        <v>527681.56000000006</v>
      </c>
      <c r="F251">
        <f>135425.92+(1.1766945*A251)+(33.661288*B251)+(2924.4894*C251)+(-1027.6873*D251)</f>
        <v>559597.81702389009</v>
      </c>
      <c r="G251">
        <f>E251-F251</f>
        <v>-31916.257023890037</v>
      </c>
    </row>
    <row r="252" spans="1:7">
      <c r="A252">
        <v>51996.32</v>
      </c>
      <c r="B252">
        <v>3834</v>
      </c>
      <c r="C252">
        <v>86.7</v>
      </c>
      <c r="D252">
        <v>0</v>
      </c>
      <c r="E252">
        <v>546223.69999999995</v>
      </c>
      <c r="F252">
        <f>135425.92+(1.1766945*A252)+(33.661288*B252)+(2924.4894*C252)+(-1027.6873*D252)</f>
        <v>579220.31293623999</v>
      </c>
      <c r="G252">
        <f>E252-F252</f>
        <v>-32996.612936240039</v>
      </c>
    </row>
    <row r="253" spans="1:7">
      <c r="A253">
        <v>48396.13</v>
      </c>
      <c r="B253">
        <v>4423</v>
      </c>
      <c r="C253">
        <v>85.7</v>
      </c>
      <c r="D253">
        <v>1</v>
      </c>
      <c r="E253">
        <v>557487.26</v>
      </c>
      <c r="F253">
        <f>135425.92+(1.1766945*A253)+(33.661288*B253)+(2924.4894*C253)+(-1027.6873*D253)</f>
        <v>590858.311096285</v>
      </c>
      <c r="G253">
        <f>E253-F253</f>
        <v>-33371.051096284995</v>
      </c>
    </row>
    <row r="254" spans="1:7">
      <c r="A254">
        <v>68040.149999999994</v>
      </c>
      <c r="B254">
        <v>9826</v>
      </c>
      <c r="C254">
        <v>83.9</v>
      </c>
      <c r="D254">
        <v>0</v>
      </c>
      <c r="E254">
        <v>758138.29</v>
      </c>
      <c r="F254">
        <f>135425.92+(1.1766945*A254)+(33.661288*B254)+(2924.4894*C254)+(-1027.6873*D254)</f>
        <v>791608.86683217506</v>
      </c>
      <c r="G254">
        <f>E254-F254</f>
        <v>-33470.576832175022</v>
      </c>
    </row>
    <row r="255" spans="1:7">
      <c r="A255">
        <v>36813.449999999997</v>
      </c>
      <c r="B255">
        <v>2834</v>
      </c>
      <c r="C255">
        <v>81.8</v>
      </c>
      <c r="D255">
        <v>0</v>
      </c>
      <c r="E255">
        <v>479050.5</v>
      </c>
      <c r="F255">
        <f>135425.92+(1.1766945*A255)+(33.661288*B255)+(2924.4894*C255)+(-1027.6873*D255)</f>
        <v>513363.427253025</v>
      </c>
      <c r="G255">
        <f>E255-F255</f>
        <v>-34312.927253025002</v>
      </c>
    </row>
    <row r="256" spans="1:7">
      <c r="A256">
        <v>61245.41</v>
      </c>
      <c r="B256">
        <v>8156</v>
      </c>
      <c r="C256">
        <v>92.9</v>
      </c>
      <c r="D256">
        <v>1</v>
      </c>
      <c r="E256">
        <v>718330.53</v>
      </c>
      <c r="F256">
        <f>135425.92+(1.1766945*A256)+(33.661288*B256)+(2924.4894*C256)+(-1027.6873*D256)</f>
        <v>752691.89998524508</v>
      </c>
      <c r="G256">
        <f>E256-F256</f>
        <v>-34361.369985245052</v>
      </c>
    </row>
    <row r="257" spans="1:7">
      <c r="A257">
        <v>63101.59</v>
      </c>
      <c r="B257">
        <v>4373</v>
      </c>
      <c r="C257">
        <v>90.4</v>
      </c>
      <c r="D257">
        <v>0</v>
      </c>
      <c r="E257">
        <v>586626.93999999994</v>
      </c>
      <c r="F257">
        <f>135425.92+(1.1766945*A257)+(33.661288*B257)+(2924.4894*C257)+(-1027.6873*D257)</f>
        <v>621251.86807825509</v>
      </c>
      <c r="G257">
        <f>E257-F257</f>
        <v>-34624.92807825515</v>
      </c>
    </row>
    <row r="258" spans="1:7">
      <c r="A258">
        <v>54002.83</v>
      </c>
      <c r="B258">
        <v>4366</v>
      </c>
      <c r="C258">
        <v>90.6</v>
      </c>
      <c r="D258">
        <v>1</v>
      </c>
      <c r="E258">
        <v>574066.61</v>
      </c>
      <c r="F258">
        <f>135425.92+(1.1766945*A258)+(33.661288*B258)+(2924.4894*C258)+(-1027.6873*D258)</f>
        <v>609866.98879343492</v>
      </c>
      <c r="G258">
        <f>E258-F258</f>
        <v>-35800.378793434938</v>
      </c>
    </row>
    <row r="259" spans="1:7">
      <c r="A259">
        <v>52483.77</v>
      </c>
      <c r="B259">
        <v>10453</v>
      </c>
      <c r="C259">
        <v>99</v>
      </c>
      <c r="D259">
        <v>1</v>
      </c>
      <c r="E259">
        <v>800979.78</v>
      </c>
      <c r="F259">
        <f>135425.92+(1.1766945*A259)+(33.661288*B259)+(2924.4894*C259)+(-1027.6873*D259)</f>
        <v>837541.49026226508</v>
      </c>
      <c r="G259">
        <f>E259-F259</f>
        <v>-36561.710262265056</v>
      </c>
    </row>
    <row r="260" spans="1:7">
      <c r="A260">
        <v>50909.27</v>
      </c>
      <c r="B260">
        <v>3152</v>
      </c>
      <c r="C260">
        <v>93.7</v>
      </c>
      <c r="D260">
        <v>1</v>
      </c>
      <c r="E260">
        <v>537058.32999999996</v>
      </c>
      <c r="F260">
        <f>135425.92+(1.1766945*A260)+(33.661288*B260)+(2924.4894*C260)+(-1027.6873*D260)</f>
        <v>574427.92726401507</v>
      </c>
      <c r="G260">
        <f>E260-F260</f>
        <v>-37369.597264015116</v>
      </c>
    </row>
    <row r="261" spans="1:7">
      <c r="A261">
        <v>23702.38</v>
      </c>
      <c r="B261">
        <v>5285</v>
      </c>
      <c r="C261">
        <v>79.7</v>
      </c>
      <c r="D261">
        <v>0</v>
      </c>
      <c r="E261">
        <v>536524.84</v>
      </c>
      <c r="F261">
        <f>135425.92+(1.1766945*A261)+(33.661288*B261)+(2924.4894*C261)+(-1027.6873*D261)</f>
        <v>574298.09244291007</v>
      </c>
      <c r="G261">
        <f>E261-F261</f>
        <v>-37773.252442910103</v>
      </c>
    </row>
    <row r="262" spans="1:7">
      <c r="A262">
        <v>35203.230000000003</v>
      </c>
      <c r="B262">
        <v>6896</v>
      </c>
      <c r="C262">
        <v>80.8</v>
      </c>
      <c r="D262">
        <v>0</v>
      </c>
      <c r="E262">
        <v>607084.92000000004</v>
      </c>
      <c r="F262">
        <f>135425.92+(1.1766945*A262)+(33.661288*B262)+(2924.4894*C262)+(-1027.6873*D262)</f>
        <v>645276.35269123502</v>
      </c>
      <c r="G262">
        <f>E262-F262</f>
        <v>-38191.432691234979</v>
      </c>
    </row>
    <row r="263" spans="1:7">
      <c r="A263">
        <v>27808.6</v>
      </c>
      <c r="B263">
        <v>2863</v>
      </c>
      <c r="C263">
        <v>89.3</v>
      </c>
      <c r="D263">
        <v>0</v>
      </c>
      <c r="E263">
        <v>487464.91</v>
      </c>
      <c r="F263">
        <f>135425.92+(1.1766945*A263)+(33.661288*B263)+(2924.4894*C263)+(-1027.6873*D263)</f>
        <v>525677.3176367</v>
      </c>
      <c r="G263">
        <f>E263-F263</f>
        <v>-38212.407636700023</v>
      </c>
    </row>
    <row r="264" spans="1:7">
      <c r="A264">
        <v>62059.18</v>
      </c>
      <c r="B264">
        <v>9374</v>
      </c>
      <c r="C264">
        <v>87.1</v>
      </c>
      <c r="D264">
        <v>0</v>
      </c>
      <c r="E264">
        <v>739831.73</v>
      </c>
      <c r="F264">
        <f>135425.92+(1.1766945*A264)+(33.661288*B264)+(2924.4894*C264)+(-1027.6873*D264)</f>
        <v>778714.55623251002</v>
      </c>
      <c r="G264">
        <f>E264-F264</f>
        <v>-38882.826232510037</v>
      </c>
    </row>
    <row r="265" spans="1:7">
      <c r="A265">
        <v>54479.33</v>
      </c>
      <c r="B265">
        <v>5012</v>
      </c>
      <c r="C265">
        <v>86</v>
      </c>
      <c r="D265">
        <v>1</v>
      </c>
      <c r="E265">
        <v>578949.84</v>
      </c>
      <c r="F265">
        <f>135425.92+(1.1766945*A265)+(33.661288*B265)+(2924.4894*C265)+(-1027.6873*D265)</f>
        <v>618720.22453068499</v>
      </c>
      <c r="G265">
        <f>E265-F265</f>
        <v>-39770.384530685027</v>
      </c>
    </row>
    <row r="266" spans="1:7">
      <c r="A266">
        <v>57390.04</v>
      </c>
      <c r="B266">
        <v>7374</v>
      </c>
      <c r="C266">
        <v>91.8</v>
      </c>
      <c r="D266">
        <v>0</v>
      </c>
      <c r="E266">
        <v>679230.86</v>
      </c>
      <c r="F266">
        <f>135425.92+(1.1766945*A266)+(33.661288*B266)+(2924.4894*C266)+(-1027.6873*D266)</f>
        <v>719642.92905477993</v>
      </c>
      <c r="G266">
        <f>E266-F266</f>
        <v>-40412.069054779946</v>
      </c>
    </row>
    <row r="267" spans="1:7">
      <c r="A267">
        <v>73540.990000000005</v>
      </c>
      <c r="B267">
        <v>8773</v>
      </c>
      <c r="C267">
        <v>84.4</v>
      </c>
      <c r="D267">
        <v>0</v>
      </c>
      <c r="E267">
        <v>723531.4</v>
      </c>
      <c r="F267">
        <f>135425.92+(1.1766945*A267)+(33.661288*B267)+(2924.4894*C267)+(-1027.6873*D267)</f>
        <v>764098.58344155503</v>
      </c>
      <c r="G267">
        <f>E267-F267</f>
        <v>-40567.183441555011</v>
      </c>
    </row>
    <row r="268" spans="1:7">
      <c r="A268">
        <v>45940.39</v>
      </c>
      <c r="B268">
        <v>4022</v>
      </c>
      <c r="C268">
        <v>83</v>
      </c>
      <c r="D268">
        <v>0</v>
      </c>
      <c r="E268">
        <v>524899.56999999995</v>
      </c>
      <c r="F268">
        <f>135425.92+(1.1766945*A268)+(33.661288*B268)+(2924.4894*C268)+(-1027.6873*D268)</f>
        <v>567602.04477685504</v>
      </c>
      <c r="G268">
        <f>E268-F268</f>
        <v>-42702.474776855088</v>
      </c>
    </row>
    <row r="269" spans="1:7">
      <c r="A269">
        <v>68909.259999999995</v>
      </c>
      <c r="B269">
        <v>7794</v>
      </c>
      <c r="C269">
        <v>89</v>
      </c>
      <c r="D269">
        <v>0</v>
      </c>
      <c r="E269">
        <v>696261.49</v>
      </c>
      <c r="F269">
        <f>135425.92+(1.1766945*A269)+(33.661288*B269)+(2924.4894*C269)+(-1027.6873*D269)</f>
        <v>739146.70251306996</v>
      </c>
      <c r="G269">
        <f>E269-F269</f>
        <v>-42885.212513069971</v>
      </c>
    </row>
    <row r="270" spans="1:7">
      <c r="A270">
        <v>33173.949999999997</v>
      </c>
      <c r="B270">
        <v>6545</v>
      </c>
      <c r="C270">
        <v>84.4</v>
      </c>
      <c r="D270">
        <v>0</v>
      </c>
      <c r="E270">
        <v>596969.27</v>
      </c>
      <c r="F270">
        <f>135425.92+(1.1766945*A270)+(33.661288*B270)+(2924.4894*C270)+(-1027.6873*D270)</f>
        <v>641601.559828275</v>
      </c>
      <c r="G270">
        <f>E270-F270</f>
        <v>-44632.289828274981</v>
      </c>
    </row>
    <row r="271" spans="1:7">
      <c r="A271">
        <v>43645.98</v>
      </c>
      <c r="B271">
        <v>9480</v>
      </c>
      <c r="C271">
        <v>89</v>
      </c>
      <c r="D271">
        <v>0</v>
      </c>
      <c r="E271">
        <v>721364.11</v>
      </c>
      <c r="F271">
        <f>135425.92+(1.1766945*A271)+(33.661288*B271)+(2924.4894*C271)+(-1027.6873*D271)</f>
        <v>766172.47145310999</v>
      </c>
      <c r="G271">
        <f>E271-F271</f>
        <v>-44808.361453110003</v>
      </c>
    </row>
    <row r="272" spans="1:7">
      <c r="A272">
        <v>46767.99</v>
      </c>
      <c r="B272">
        <v>7973</v>
      </c>
      <c r="C272">
        <v>94.8</v>
      </c>
      <c r="D272">
        <v>1</v>
      </c>
      <c r="E272">
        <v>688368.46</v>
      </c>
      <c r="F272">
        <f>135425.92+(1.1766945*A272)+(33.661288*B272)+(2924.4894*C272)+(-1027.6873*D272)</f>
        <v>735052.91365305509</v>
      </c>
      <c r="G272">
        <f>E272-F272</f>
        <v>-46684.453653055127</v>
      </c>
    </row>
    <row r="273" spans="1:7">
      <c r="A273">
        <v>33605.18</v>
      </c>
      <c r="B273">
        <v>9225</v>
      </c>
      <c r="C273">
        <v>88.4</v>
      </c>
      <c r="D273">
        <v>0</v>
      </c>
      <c r="E273">
        <v>697287.9</v>
      </c>
      <c r="F273">
        <f>135425.92+(1.1766945*A273)+(33.661288*B273)+(2924.4894*C273)+(-1027.6873*D273)</f>
        <v>744019.19523750991</v>
      </c>
      <c r="G273">
        <f>E273-F273</f>
        <v>-46731.295237509883</v>
      </c>
    </row>
    <row r="274" spans="1:7">
      <c r="A274">
        <v>61433.84</v>
      </c>
      <c r="B274">
        <v>7745</v>
      </c>
      <c r="C274">
        <v>90.5</v>
      </c>
      <c r="D274">
        <v>0</v>
      </c>
      <c r="E274">
        <v>685830.24</v>
      </c>
      <c r="F274">
        <f>135425.92+(1.1766945*A274)+(33.661288*B274)+(2924.4894*C274)+(-1027.6873*D274)</f>
        <v>733087.74790187995</v>
      </c>
      <c r="G274">
        <f>E274-F274</f>
        <v>-47257.507901879959</v>
      </c>
    </row>
    <row r="275" spans="1:7">
      <c r="A275">
        <v>41443.410000000003</v>
      </c>
      <c r="B275">
        <v>7455</v>
      </c>
      <c r="C275">
        <v>90.1</v>
      </c>
      <c r="D275">
        <v>0</v>
      </c>
      <c r="E275">
        <v>650480.06000000006</v>
      </c>
      <c r="F275">
        <f>135425.92+(1.1766945*A275)+(33.661288*B275)+(2924.4894*C275)+(-1027.6873*D275)</f>
        <v>698633.54958824499</v>
      </c>
      <c r="G275">
        <f>E275-F275</f>
        <v>-48153.489588244935</v>
      </c>
    </row>
    <row r="276" spans="1:7">
      <c r="A276">
        <v>118910.48</v>
      </c>
      <c r="B276">
        <v>4022</v>
      </c>
      <c r="C276">
        <v>87.1</v>
      </c>
      <c r="D276">
        <v>0</v>
      </c>
      <c r="E276">
        <v>617291.15</v>
      </c>
      <c r="F276">
        <f>135425.92+(1.1766945*A276)+(33.661288*B276)+(2924.4894*C276)+(-1027.6873*D276)</f>
        <v>665455.95488435996</v>
      </c>
      <c r="G276">
        <f>E276-F276</f>
        <v>-48164.804884359939</v>
      </c>
    </row>
    <row r="277" spans="1:7">
      <c r="A277">
        <v>70488.2</v>
      </c>
      <c r="B277">
        <v>4312</v>
      </c>
      <c r="C277">
        <v>90.2</v>
      </c>
      <c r="D277">
        <v>1</v>
      </c>
      <c r="E277">
        <v>577732.56999999995</v>
      </c>
      <c r="F277">
        <f>135425.92+(1.1766945*A277)+(33.661288*B277)+(2924.4894*C277)+(-1027.6873*D277)</f>
        <v>626277.72769089998</v>
      </c>
      <c r="G277">
        <f>E277-F277</f>
        <v>-48545.157690900029</v>
      </c>
    </row>
    <row r="278" spans="1:7">
      <c r="A278">
        <v>40553.11</v>
      </c>
      <c r="B278">
        <v>5317</v>
      </c>
      <c r="C278">
        <v>84.3</v>
      </c>
      <c r="D278">
        <v>0</v>
      </c>
      <c r="E278">
        <v>559660.84</v>
      </c>
      <c r="F278">
        <f>135425.92+(1.1766945*A278)+(33.661288*B278)+(2924.4894*C278)+(-1027.6873*D278)</f>
        <v>608656.06621089496</v>
      </c>
      <c r="G278">
        <f>E278-F278</f>
        <v>-48995.226210894994</v>
      </c>
    </row>
    <row r="279" spans="1:7">
      <c r="A279">
        <v>43896.13</v>
      </c>
      <c r="B279">
        <v>3853</v>
      </c>
      <c r="C279">
        <v>83</v>
      </c>
      <c r="D279">
        <v>1</v>
      </c>
      <c r="E279">
        <v>509484.81</v>
      </c>
      <c r="F279">
        <f>135425.92+(1.1766945*A279)+(33.661288*B279)+(2924.4894*C279)+(-1027.6873*D279)</f>
        <v>558480.13030628499</v>
      </c>
      <c r="G279">
        <f>E279-F279</f>
        <v>-48995.320306284993</v>
      </c>
    </row>
    <row r="280" spans="1:7">
      <c r="A280">
        <v>63630.21</v>
      </c>
      <c r="B280">
        <v>4460</v>
      </c>
      <c r="C280">
        <v>98.6</v>
      </c>
      <c r="D280">
        <v>0</v>
      </c>
      <c r="E280">
        <v>599603.4</v>
      </c>
      <c r="F280">
        <f>135425.92+(1.1766945*A280)+(33.661288*B280)+(2924.4894*C280)+(-1027.6873*D280)</f>
        <v>648783.23746084503</v>
      </c>
      <c r="G280">
        <f>E280-F280</f>
        <v>-49179.83746084501</v>
      </c>
    </row>
    <row r="281" spans="1:7">
      <c r="A281">
        <v>70276.28</v>
      </c>
      <c r="B281">
        <v>3043</v>
      </c>
      <c r="C281">
        <v>87.9</v>
      </c>
      <c r="D281">
        <v>1</v>
      </c>
      <c r="E281">
        <v>527300.13</v>
      </c>
      <c r="F281">
        <f>135425.92+(1.1766945*A281)+(33.661288*B281)+(2924.4894*C281)+(-1027.6873*D281)</f>
        <v>576585.86250046</v>
      </c>
      <c r="G281">
        <f>E281-F281</f>
        <v>-49285.732500459999</v>
      </c>
    </row>
    <row r="282" spans="1:7">
      <c r="A282">
        <v>52952.12</v>
      </c>
      <c r="B282">
        <v>4377</v>
      </c>
      <c r="C282">
        <v>88.6</v>
      </c>
      <c r="D282">
        <v>0</v>
      </c>
      <c r="E282">
        <v>553756.43000000005</v>
      </c>
      <c r="F282">
        <f>135425.92+(1.1766945*A282)+(33.661288*B282)+(2924.4894*C282)+(-1027.6873*D282)</f>
        <v>604179.60678333999</v>
      </c>
      <c r="G282">
        <f>E282-F282</f>
        <v>-50423.176783339935</v>
      </c>
    </row>
    <row r="283" spans="1:7">
      <c r="A283">
        <v>58749.63</v>
      </c>
      <c r="B283">
        <v>8252</v>
      </c>
      <c r="C283">
        <v>85.2</v>
      </c>
      <c r="D283">
        <v>0</v>
      </c>
      <c r="E283">
        <v>680840.36</v>
      </c>
      <c r="F283">
        <f>135425.92+(1.1766945*A283)+(33.661288*B283)+(2924.4894*C283)+(-1027.6873*D283)</f>
        <v>731495.731954035</v>
      </c>
      <c r="G283">
        <f>E283-F283</f>
        <v>-50655.371954035014</v>
      </c>
    </row>
    <row r="284" spans="1:7">
      <c r="A284">
        <v>81796.740000000005</v>
      </c>
      <c r="B284">
        <v>6177</v>
      </c>
      <c r="C284">
        <v>87.9</v>
      </c>
      <c r="D284">
        <v>0</v>
      </c>
      <c r="E284">
        <v>643428.85</v>
      </c>
      <c r="F284">
        <f>135425.92+(1.1766945*A284)+(33.661288*B284)+(2924.4894*C284)+(-1027.6873*D284)</f>
        <v>696664.08831193007</v>
      </c>
      <c r="G284">
        <f>E284-F284</f>
        <v>-53235.238311930094</v>
      </c>
    </row>
    <row r="285" spans="1:7">
      <c r="A285">
        <v>54966.18</v>
      </c>
      <c r="B285">
        <v>4423</v>
      </c>
      <c r="C285">
        <v>88.7</v>
      </c>
      <c r="D285">
        <v>0</v>
      </c>
      <c r="E285">
        <v>554012.06999999995</v>
      </c>
      <c r="F285">
        <f>135425.92+(1.1766945*A285)+(33.661288*B285)+(2924.4894*C285)+(-1027.6873*D285)</f>
        <v>608390.40829600999</v>
      </c>
      <c r="G285">
        <f>E285-F285</f>
        <v>-54378.338296010043</v>
      </c>
    </row>
    <row r="286" spans="1:7">
      <c r="A286">
        <v>22071.64</v>
      </c>
      <c r="B286">
        <v>1814</v>
      </c>
      <c r="C286">
        <v>81.099999999999994</v>
      </c>
      <c r="D286">
        <v>1</v>
      </c>
      <c r="E286">
        <v>400831.65</v>
      </c>
      <c r="F286">
        <f>135425.92+(1.1766945*A286)+(33.661288*B286)+(2924.4894*C286)+(-1027.6873*D286)</f>
        <v>458607.47686597996</v>
      </c>
      <c r="G286">
        <f>E286-F286</f>
        <v>-57775.826865979936</v>
      </c>
    </row>
    <row r="287" spans="1:7">
      <c r="A287">
        <v>48412.639999999999</v>
      </c>
      <c r="B287">
        <v>9545</v>
      </c>
      <c r="C287">
        <v>97.6</v>
      </c>
      <c r="D287">
        <v>0</v>
      </c>
      <c r="E287">
        <v>741341.44</v>
      </c>
      <c r="F287">
        <f>135425.92+(1.1766945*A287)+(33.661288*B287)+(2924.4894*C287)+(-1027.6873*D287)</f>
        <v>799119.96661847993</v>
      </c>
      <c r="G287">
        <f>E287-F287</f>
        <v>-57778.526618479984</v>
      </c>
    </row>
    <row r="288" spans="1:7">
      <c r="A288">
        <v>70389.11</v>
      </c>
      <c r="B288">
        <v>8302</v>
      </c>
      <c r="C288">
        <v>75</v>
      </c>
      <c r="D288">
        <v>0</v>
      </c>
      <c r="E288">
        <v>658832.62</v>
      </c>
      <c r="F288">
        <f>135425.92+(1.1766945*A288)+(33.661288*B288)+(2924.4894*C288)+(-1027.6873*D288)</f>
        <v>717045.11657289497</v>
      </c>
      <c r="G288">
        <f>E288-F288</f>
        <v>-58212.496572894976</v>
      </c>
    </row>
    <row r="289" spans="1:7">
      <c r="A289">
        <v>37324.230000000003</v>
      </c>
      <c r="B289">
        <v>5957</v>
      </c>
      <c r="C289">
        <v>85.9</v>
      </c>
      <c r="D289">
        <v>0</v>
      </c>
      <c r="E289">
        <v>570963.31000000006</v>
      </c>
      <c r="F289">
        <f>135425.92+(1.1766945*A289)+(33.661288*B289)+(2924.4894*C289)+(-1027.6873*D289)</f>
        <v>631079.06823373504</v>
      </c>
      <c r="G289">
        <f>E289-F289</f>
        <v>-60115.758233734989</v>
      </c>
    </row>
    <row r="290" spans="1:7">
      <c r="A290">
        <v>60684.05</v>
      </c>
      <c r="B290">
        <v>6399</v>
      </c>
      <c r="C290">
        <v>99</v>
      </c>
      <c r="D290">
        <v>0</v>
      </c>
      <c r="E290">
        <v>651164.18000000005</v>
      </c>
      <c r="F290">
        <f>135425.92+(1.1766945*A290)+(33.661288*B290)+(2924.4894*C290)+(-1027.6873*D290)</f>
        <v>711755.54038472497</v>
      </c>
      <c r="G290">
        <f>E290-F290</f>
        <v>-60591.360384724918</v>
      </c>
    </row>
    <row r="291" spans="1:7">
      <c r="A291">
        <v>55716.82</v>
      </c>
      <c r="B291">
        <v>10054</v>
      </c>
      <c r="C291">
        <v>84.9</v>
      </c>
      <c r="D291">
        <v>0</v>
      </c>
      <c r="E291">
        <v>726606.28</v>
      </c>
      <c r="F291">
        <f>135425.92+(1.1766945*A291)+(33.661288*B291)+(2924.4894*C291)+(-1027.6873*D291)</f>
        <v>787707.33526349009</v>
      </c>
      <c r="G291">
        <f>E291-F291</f>
        <v>-61101.055263490067</v>
      </c>
    </row>
    <row r="292" spans="1:7">
      <c r="A292">
        <v>73771.91</v>
      </c>
      <c r="B292">
        <v>11695</v>
      </c>
      <c r="C292">
        <v>84.7</v>
      </c>
      <c r="D292">
        <v>1</v>
      </c>
      <c r="E292">
        <v>799477.76000000001</v>
      </c>
      <c r="F292">
        <f>135425.92+(1.1766945*A292)+(33.661288*B292)+(2924.4894*C292)+(-1027.6873*D292)</f>
        <v>862578.24879149499</v>
      </c>
      <c r="G292">
        <f>E292-F292</f>
        <v>-63100.48879149498</v>
      </c>
    </row>
    <row r="293" spans="1:7">
      <c r="A293">
        <v>46495.4</v>
      </c>
      <c r="B293">
        <v>9908</v>
      </c>
      <c r="C293">
        <v>89.4</v>
      </c>
      <c r="D293">
        <v>0</v>
      </c>
      <c r="E293">
        <v>721079.35</v>
      </c>
      <c r="F293">
        <f>135425.92+(1.1766945*A293)+(33.661288*B293)+(2924.4894*C293)+(-1027.6873*D293)</f>
        <v>785102.19531930005</v>
      </c>
      <c r="G293">
        <f>E293-F293</f>
        <v>-64022.845319300075</v>
      </c>
    </row>
    <row r="294" spans="1:7">
      <c r="A294">
        <v>37983.35</v>
      </c>
      <c r="B294">
        <v>9283</v>
      </c>
      <c r="C294">
        <v>83.2</v>
      </c>
      <c r="D294">
        <v>0</v>
      </c>
      <c r="E294">
        <v>671868.59</v>
      </c>
      <c r="F294">
        <f>135425.92+(1.1766945*A294)+(33.661288*B294)+(2924.4894*C294)+(-1027.6873*D294)</f>
        <v>735915.97362057492</v>
      </c>
      <c r="G294">
        <f>E294-F294</f>
        <v>-64047.383620574954</v>
      </c>
    </row>
    <row r="295" spans="1:7">
      <c r="A295">
        <v>19063.48</v>
      </c>
      <c r="B295">
        <v>1906</v>
      </c>
      <c r="C295">
        <v>97.8</v>
      </c>
      <c r="D295">
        <v>1</v>
      </c>
      <c r="E295">
        <v>441275.42</v>
      </c>
      <c r="F295">
        <f>135425.92+(1.1766945*A295)+(33.661288*B295)+(2924.4894*C295)+(-1027.6873*D295)</f>
        <v>507003.60301485995</v>
      </c>
      <c r="G295">
        <f>E295-F295</f>
        <v>-65728.183014859969</v>
      </c>
    </row>
    <row r="296" spans="1:7">
      <c r="A296">
        <v>76614.320000000007</v>
      </c>
      <c r="B296">
        <v>5639</v>
      </c>
      <c r="C296">
        <v>92.9</v>
      </c>
      <c r="D296">
        <v>0</v>
      </c>
      <c r="E296">
        <v>620264.19999999995</v>
      </c>
      <c r="F296">
        <f>135425.92+(1.1766945*A296)+(33.661288*B296)+(2924.4894*C296)+(-1027.6873*D296)</f>
        <v>687078.63725724001</v>
      </c>
      <c r="G296">
        <f>E296-F296</f>
        <v>-66814.437257240061</v>
      </c>
    </row>
    <row r="297" spans="1:7">
      <c r="A297">
        <v>50735.63</v>
      </c>
      <c r="B297">
        <v>9619</v>
      </c>
      <c r="C297">
        <v>93.8</v>
      </c>
      <c r="D297">
        <v>0</v>
      </c>
      <c r="E297">
        <v>725235.28</v>
      </c>
      <c r="F297">
        <f>135425.92+(1.1766945*A297)+(33.661288*B297)+(2924.4894*C297)+(-1027.6873*D297)</f>
        <v>793231.29176703491</v>
      </c>
      <c r="G297">
        <f>E297-F297</f>
        <v>-67996.011767034885</v>
      </c>
    </row>
    <row r="298" spans="1:7">
      <c r="A298">
        <v>42415.47</v>
      </c>
      <c r="B298">
        <v>8512</v>
      </c>
      <c r="C298">
        <v>96.8</v>
      </c>
      <c r="D298">
        <v>0</v>
      </c>
      <c r="E298">
        <v>684217.32</v>
      </c>
      <c r="F298">
        <f>135425.92+(1.1766945*A298)+(33.661288*B298)+(2924.4894*C298)+(-1027.6873*D298)</f>
        <v>754951.42763991503</v>
      </c>
      <c r="G298">
        <f>E298-F298</f>
        <v>-70734.107639915077</v>
      </c>
    </row>
    <row r="299" spans="1:7">
      <c r="A299">
        <v>24362.98</v>
      </c>
      <c r="B299">
        <v>1462</v>
      </c>
      <c r="C299">
        <v>89.3</v>
      </c>
      <c r="D299">
        <v>0</v>
      </c>
      <c r="E299">
        <v>401582.58</v>
      </c>
      <c r="F299">
        <f>135425.92+(1.1766945*A299)+(33.661288*B299)+(2924.4894*C299)+(-1027.6873*D299)</f>
        <v>474463.41104560997</v>
      </c>
      <c r="G299">
        <f>E299-F299</f>
        <v>-72880.831045609957</v>
      </c>
    </row>
    <row r="300" spans="1:7">
      <c r="A300">
        <v>53762.92</v>
      </c>
      <c r="B300">
        <v>6821</v>
      </c>
      <c r="C300">
        <v>94.6</v>
      </c>
      <c r="D300">
        <v>0</v>
      </c>
      <c r="E300">
        <v>630829.93999999994</v>
      </c>
      <c r="F300">
        <f>135425.92+(1.1766945*A300)+(33.661288*B300)+(2924.4894*C300)+(-1027.6873*D300)</f>
        <v>704948.79495593999</v>
      </c>
      <c r="G300">
        <f>E300-F300</f>
        <v>-74118.854955940042</v>
      </c>
    </row>
    <row r="301" spans="1:7">
      <c r="A301">
        <v>61784.11</v>
      </c>
      <c r="B301">
        <v>8564</v>
      </c>
      <c r="C301">
        <v>87.4</v>
      </c>
      <c r="D301">
        <v>0</v>
      </c>
      <c r="E301">
        <v>673076.34</v>
      </c>
      <c r="F301">
        <f>135425.92+(1.1766945*A301)+(33.661288*B301)+(2924.4894*C301)+(-1027.6873*D301)</f>
        <v>752002.58641639503</v>
      </c>
      <c r="G301">
        <f>E301-F301</f>
        <v>-78926.246416395064</v>
      </c>
    </row>
    <row r="302" spans="1:7">
      <c r="A302">
        <v>56413.83</v>
      </c>
      <c r="B302">
        <v>8303</v>
      </c>
      <c r="C302">
        <v>93.6</v>
      </c>
      <c r="D302">
        <v>0</v>
      </c>
      <c r="E302">
        <v>675917.63</v>
      </c>
      <c r="F302">
        <f>135425.92+(1.1766945*A302)+(33.661288*B302)+(2924.4894*C302)+(-1027.6873*D302)</f>
        <v>755029.64558893489</v>
      </c>
      <c r="G302">
        <f>E302-F302</f>
        <v>-79112.015588934883</v>
      </c>
    </row>
    <row r="303" spans="1:7">
      <c r="A303">
        <v>29344.93</v>
      </c>
      <c r="B303">
        <v>7446</v>
      </c>
      <c r="C303">
        <v>86.2</v>
      </c>
      <c r="D303">
        <v>0</v>
      </c>
      <c r="E303">
        <v>593343</v>
      </c>
      <c r="F303">
        <f>135425.92+(1.1766945*A303)+(33.661288*B303)+(2924.4894*C303)+(-1027.6873*D303)</f>
        <v>672688.87446188508</v>
      </c>
      <c r="G303">
        <f>E303-F303</f>
        <v>-79345.874461885076</v>
      </c>
    </row>
    <row r="304" spans="1:7">
      <c r="A304">
        <v>71320.66</v>
      </c>
      <c r="B304">
        <v>7888</v>
      </c>
      <c r="C304">
        <v>78.099999999999994</v>
      </c>
      <c r="D304">
        <v>0</v>
      </c>
      <c r="E304">
        <v>633638.03</v>
      </c>
      <c r="F304">
        <f>135425.92+(1.1766945*A304)+(33.661288*B304)+(2924.4894*C304)+(-1027.6873*D304)</f>
        <v>713271.4102423701</v>
      </c>
      <c r="G304">
        <f>E304-F304</f>
        <v>-79633.380242370069</v>
      </c>
    </row>
    <row r="305" spans="1:7">
      <c r="A305">
        <v>48752.92</v>
      </c>
      <c r="B305">
        <v>8052</v>
      </c>
      <c r="C305">
        <v>94.9</v>
      </c>
      <c r="D305">
        <v>0</v>
      </c>
      <c r="E305">
        <v>660633.99</v>
      </c>
      <c r="F305">
        <f>135425.92+(1.1766945*A305)+(33.661288*B305)+(2924.4894*C305)+(-1027.6873*D305)</f>
        <v>741367.94785894</v>
      </c>
      <c r="G305">
        <f>E305-F305</f>
        <v>-80733.957858940004</v>
      </c>
    </row>
    <row r="306" spans="1:7">
      <c r="A306">
        <v>32834.480000000003</v>
      </c>
      <c r="B306">
        <v>7576</v>
      </c>
      <c r="C306">
        <v>84.1</v>
      </c>
      <c r="D306">
        <v>0</v>
      </c>
      <c r="E306">
        <v>593637.14</v>
      </c>
      <c r="F306">
        <f>135425.92+(1.1766945*A306)+(33.661288*B306)+(2924.4894*C306)+(-1027.6873*D306)</f>
        <v>675029.54845435999</v>
      </c>
      <c r="G306">
        <f>E306-F306</f>
        <v>-81392.408454359975</v>
      </c>
    </row>
    <row r="307" spans="1:7">
      <c r="A307">
        <v>62949.7</v>
      </c>
      <c r="B307">
        <v>9458</v>
      </c>
      <c r="C307">
        <v>84.9</v>
      </c>
      <c r="D307">
        <v>0</v>
      </c>
      <c r="E307">
        <v>691288.19</v>
      </c>
      <c r="F307">
        <f>135425.92+(1.1766945*A307)+(33.661288*B307)+(2924.4894*C307)+(-1027.6873*D307)</f>
        <v>776156.09773064998</v>
      </c>
      <c r="G307">
        <f>E307-F307</f>
        <v>-84867.90773065004</v>
      </c>
    </row>
    <row r="308" spans="1:7">
      <c r="A308">
        <v>43827.89</v>
      </c>
      <c r="B308">
        <v>8487</v>
      </c>
      <c r="C308">
        <v>84.4</v>
      </c>
      <c r="D308">
        <v>0</v>
      </c>
      <c r="E308">
        <v>634436</v>
      </c>
      <c r="F308">
        <f>135425.92+(1.1766945*A308)+(33.661288*B308)+(2924.4894*C308)+(-1027.6873*D308)</f>
        <v>719508.21372560505</v>
      </c>
      <c r="G308">
        <f>E308-F308</f>
        <v>-85072.213725605048</v>
      </c>
    </row>
    <row r="309" spans="1:7">
      <c r="A309">
        <v>69816.350000000006</v>
      </c>
      <c r="B309">
        <v>971</v>
      </c>
      <c r="C309">
        <v>89.9</v>
      </c>
      <c r="D309">
        <v>0</v>
      </c>
      <c r="E309">
        <v>427917.38</v>
      </c>
      <c r="F309">
        <f>135425.92+(1.1766945*A309)+(33.661288*B309)+(2924.4894*C309)+(-1027.6873*D309)</f>
        <v>513175.14276307507</v>
      </c>
      <c r="G309">
        <f>E309-F309</f>
        <v>-85257.762763075065</v>
      </c>
    </row>
    <row r="310" spans="1:7">
      <c r="A310">
        <v>68600.62</v>
      </c>
      <c r="B310">
        <v>3988</v>
      </c>
      <c r="C310">
        <v>85</v>
      </c>
      <c r="D310">
        <v>0</v>
      </c>
      <c r="E310">
        <v>511844.41</v>
      </c>
      <c r="F310">
        <f>135425.92+(1.1766945*A310)+(33.661288*B310)+(2924.4894*C310)+(-1027.6873*D310)</f>
        <v>598970.70779458992</v>
      </c>
      <c r="G310">
        <f>E310-F310</f>
        <v>-87126.297794589947</v>
      </c>
    </row>
    <row r="311" spans="1:7">
      <c r="A311">
        <v>41657.64</v>
      </c>
      <c r="B311">
        <v>3135</v>
      </c>
      <c r="C311">
        <v>85.4</v>
      </c>
      <c r="D311">
        <v>0</v>
      </c>
      <c r="E311">
        <v>449465.06</v>
      </c>
      <c r="F311">
        <f>135425.92+(1.1766945*A311)+(33.661288*B311)+(2924.4894*C311)+(-1027.6873*D311)</f>
        <v>539723.76851098007</v>
      </c>
      <c r="G311">
        <f>E311-F311</f>
        <v>-90258.708510980068</v>
      </c>
    </row>
    <row r="312" spans="1:7">
      <c r="A312">
        <v>172415.52</v>
      </c>
      <c r="B312">
        <v>8927</v>
      </c>
      <c r="C312">
        <v>86.2</v>
      </c>
      <c r="D312">
        <v>0</v>
      </c>
      <c r="E312">
        <v>800451.94</v>
      </c>
      <c r="F312">
        <f>135425.92+(1.1766945*A312)+(33.661288*B312)+(2924.4894*C312)+(-1027.6873*D312)</f>
        <v>890891.61835463997</v>
      </c>
      <c r="G312">
        <f>E312-F312</f>
        <v>-90439.678354640026</v>
      </c>
    </row>
    <row r="313" spans="1:7">
      <c r="A313">
        <v>53015.46</v>
      </c>
      <c r="B313">
        <v>3279</v>
      </c>
      <c r="C313">
        <v>84.3</v>
      </c>
      <c r="D313">
        <v>0</v>
      </c>
      <c r="E313">
        <v>463534.25</v>
      </c>
      <c r="F313">
        <f>135425.92+(1.1766945*A313)+(33.661288*B313)+(2924.4894*C313)+(-1027.6873*D313)</f>
        <v>554718.73996896995</v>
      </c>
      <c r="G313">
        <f>E313-F313</f>
        <v>-91184.489968969952</v>
      </c>
    </row>
    <row r="314" spans="1:7">
      <c r="A314">
        <v>59921.75</v>
      </c>
      <c r="B314">
        <v>9113</v>
      </c>
      <c r="C314">
        <v>88</v>
      </c>
      <c r="D314">
        <v>0</v>
      </c>
      <c r="E314">
        <v>678722.06</v>
      </c>
      <c r="F314">
        <f>135425.92+(1.1766945*A314)+(33.661288*B314)+(2924.4894*C314)+(-1027.6873*D314)</f>
        <v>770045.89839937491</v>
      </c>
      <c r="G314">
        <f>E314-F314</f>
        <v>-91323.838399374858</v>
      </c>
    </row>
    <row r="315" spans="1:7">
      <c r="A315">
        <v>30356.28</v>
      </c>
      <c r="B315">
        <v>2822</v>
      </c>
      <c r="C315">
        <v>84.8</v>
      </c>
      <c r="D315">
        <v>1</v>
      </c>
      <c r="E315">
        <v>415721.82</v>
      </c>
      <c r="F315">
        <f>135425.92+(1.1766945*A315)+(33.661288*B315)+(2924.4894*C315)+(-1027.6873*D315)</f>
        <v>513107.15627246001</v>
      </c>
      <c r="G315">
        <f>E315-F315</f>
        <v>-97385.336272460001</v>
      </c>
    </row>
    <row r="316" spans="1:7">
      <c r="A316">
        <v>46146.239999999998</v>
      </c>
      <c r="B316">
        <v>5804</v>
      </c>
      <c r="C316">
        <v>86.9</v>
      </c>
      <c r="D316">
        <v>0</v>
      </c>
      <c r="E316">
        <v>538376</v>
      </c>
      <c r="F316">
        <f>135425.92+(1.1766945*A316)+(33.661288*B316)+(2924.4894*C316)+(-1027.6873*D316)</f>
        <v>639234.19121567998</v>
      </c>
      <c r="G316">
        <f>E316-F316</f>
        <v>-100858.19121567998</v>
      </c>
    </row>
    <row r="317" spans="1:7">
      <c r="A317">
        <v>141540.29</v>
      </c>
      <c r="B317">
        <v>5400</v>
      </c>
      <c r="C317">
        <v>87</v>
      </c>
      <c r="D317">
        <v>0</v>
      </c>
      <c r="E317">
        <v>627171.9</v>
      </c>
      <c r="F317">
        <f>135425.92+(1.1766945*A317)+(33.661288*B317)+(2924.4894*C317)+(-1027.6873*D317)</f>
        <v>738177.13377140497</v>
      </c>
      <c r="G317">
        <f>E317-F317</f>
        <v>-111005.23377140495</v>
      </c>
    </row>
    <row r="318" spans="1:7">
      <c r="A318">
        <v>56856.63</v>
      </c>
      <c r="B318">
        <v>9431</v>
      </c>
      <c r="C318">
        <v>86.9</v>
      </c>
      <c r="D318">
        <v>0</v>
      </c>
      <c r="E318">
        <v>658920.30000000005</v>
      </c>
      <c r="F318">
        <f>135425.92+(1.1766945*A318)+(33.661288*B318)+(2924.4894*C318)+(-1027.6873*D318)</f>
        <v>773926.53979753493</v>
      </c>
      <c r="G318">
        <f>E318-F318</f>
        <v>-115006.23979753489</v>
      </c>
    </row>
    <row r="319" spans="1:7">
      <c r="A319">
        <v>54597.83</v>
      </c>
      <c r="B319">
        <v>9429</v>
      </c>
      <c r="C319">
        <v>83.3</v>
      </c>
      <c r="D319">
        <v>1</v>
      </c>
      <c r="E319">
        <v>641865.03</v>
      </c>
      <c r="F319">
        <f>135425.92+(1.1766945*A319)+(33.661288*B319)+(2924.4894*C319)+(-1027.6873*D319)</f>
        <v>759645.45054493507</v>
      </c>
      <c r="G319">
        <f>E319-F319</f>
        <v>-117780.42054493504</v>
      </c>
    </row>
    <row r="320" spans="1:7">
      <c r="A320">
        <v>138855.51</v>
      </c>
      <c r="B320">
        <v>5145</v>
      </c>
      <c r="C320">
        <v>88.2</v>
      </c>
      <c r="D320">
        <v>0</v>
      </c>
      <c r="E320">
        <v>595467.6</v>
      </c>
      <c r="F320">
        <f>135425.92+(1.1766945*A320)+(33.661288*B320)+(2924.4894*C320)+(-1027.6873*D320)</f>
        <v>729943.72675169504</v>
      </c>
      <c r="G320">
        <f>E320-F320</f>
        <v>-134476.12675169506</v>
      </c>
    </row>
    <row r="321" spans="1:7">
      <c r="A321">
        <v>79346.100000000006</v>
      </c>
      <c r="B321">
        <v>9628</v>
      </c>
      <c r="C321">
        <v>99</v>
      </c>
      <c r="D321">
        <v>0</v>
      </c>
      <c r="E321">
        <v>685379.08</v>
      </c>
      <c r="F321">
        <f>135425.92+(1.1766945*A321)+(33.661288*B321)+(2924.4894*C321)+(-1027.6873*D321)</f>
        <v>842407.37093045004</v>
      </c>
      <c r="G321">
        <f>E321-F321</f>
        <v>-157028.29093045008</v>
      </c>
    </row>
  </sheetData>
  <sortState xmlns:xlrd2="http://schemas.microsoft.com/office/spreadsheetml/2017/richdata2" ref="A2:G321">
    <sortCondition descending="1" ref="G2:G3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Cleaned_Data</vt:lpstr>
      <vt:lpstr>Dummy_Variables</vt:lpstr>
      <vt:lpstr>Simple_Regression_1</vt:lpstr>
      <vt:lpstr>Simple_Regression_2</vt:lpstr>
      <vt:lpstr>Multiple_Regression</vt:lpstr>
      <vt:lpstr>Model_Comparison</vt:lpstr>
      <vt:lpstr>Predictions_Residuals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Mishra</dc:creator>
  <cp:lastModifiedBy>Abhishek Mishra</cp:lastModifiedBy>
  <dcterms:created xsi:type="dcterms:W3CDTF">2026-06-21T14:12:51Z</dcterms:created>
  <dcterms:modified xsi:type="dcterms:W3CDTF">2026-06-22T07:03:33Z</dcterms:modified>
</cp:coreProperties>
</file>